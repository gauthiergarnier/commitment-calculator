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version" sheetId="1" r:id="rId4"/>
  </sheets>
  <definedNames/>
  <calcPr/>
</workbook>
</file>

<file path=xl/sharedStrings.xml><?xml version="1.0" encoding="utf-8"?>
<sst xmlns="http://schemas.openxmlformats.org/spreadsheetml/2006/main" count="77" uniqueCount="50">
  <si>
    <t>-Nov 2025-</t>
  </si>
  <si>
    <t>Agency Commitment &amp; Discount calculator</t>
  </si>
  <si>
    <t>Help Agencies and SIs to decide which commitment amount fits bet with their needs.</t>
  </si>
  <si>
    <t>Variables</t>
  </si>
  <si>
    <t>Agency Tier</t>
  </si>
  <si>
    <t>Platinum</t>
  </si>
  <si>
    <t>Commitment type</t>
  </si>
  <si>
    <t>Monthly Spending</t>
  </si>
  <si>
    <t>Commitment Duration</t>
  </si>
  <si>
    <t>36 months</t>
  </si>
  <si>
    <t>Contract type</t>
  </si>
  <si>
    <t>Reseller</t>
  </si>
  <si>
    <t>Yearly Prepaiment</t>
  </si>
  <si>
    <t>Yes (always required)</t>
  </si>
  <si>
    <t>Discounts</t>
  </si>
  <si>
    <t>Reseller discount</t>
  </si>
  <si>
    <t>(applied on all usage)</t>
  </si>
  <si>
    <t>Commitment Discount</t>
  </si>
  <si>
    <t>(applied on the commitment amount)</t>
  </si>
  <si>
    <t>Commitment Bonus</t>
  </si>
  <si>
    <t>Referral commission (1st year)</t>
  </si>
  <si>
    <t>Referral commission (Following years)</t>
  </si>
  <si>
    <t>Usage (list price)</t>
  </si>
  <si>
    <t>Free user licences</t>
  </si>
  <si>
    <t>Support level</t>
  </si>
  <si>
    <t>Usage after discount</t>
  </si>
  <si>
    <t>Committed amount</t>
  </si>
  <si>
    <t>Amount Creditted</t>
  </si>
  <si>
    <t>Cost of commitment 
(yearly pre-paiement)</t>
  </si>
  <si>
    <t>Cost of commitment (monthly projection)</t>
  </si>
  <si>
    <t>True Up</t>
  </si>
  <si>
    <t>Overage</t>
  </si>
  <si>
    <t>Total Monthly cost (projected)</t>
  </si>
  <si>
    <t>Blended discount</t>
  </si>
  <si>
    <t>Year 1</t>
  </si>
  <si>
    <t>Advanced Support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</si>
  <si>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</si>
  <si>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</si>
  <si>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</si>
  <si>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</si>
  <si>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</si>
  <si>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</si>
  <si>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</si>
  <si>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</si>
  <si>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</si>
  <si>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</si>
  <si>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</si>
  <si>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</si>
  <si>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2</t>
  </si>
  <si>
    <t>Year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</si>
</sst>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$&quot;#,##0"/>
    <numFmt numFmtId="166" formatCode="&quot;$&quot;#,##0.00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FFFFFF"/>
      <name val="Space Mono"/>
    </font>
    <font>
      <b/>
      <sz val="16.0"/>
      <color rgb="FF000000"/>
      <name val="Instrument Sans"/>
    </font>
    <font>
      <sz val="12.0"/>
      <color rgb="FF000000"/>
      <name val="Instrument Sans"/>
    </font>
    <font>
      <sz val="12.0"/>
      <color theme="1"/>
      <name val="Space Grotesk"/>
    </font>
    <font>
      <sz val="12.0"/>
      <color theme="1"/>
      <name val="Instrument Sans"/>
    </font>
    <font>
      <color theme="1"/>
      <name val="Instrument Sans"/>
    </font>
    <font>
      <b/>
      <sz val="10.0"/>
      <color rgb="FFFFFFFF"/>
      <name val="Instrument Sans"/>
    </font>
    <font>
      <b/>
      <color rgb="FFFFFFFF"/>
      <name val="Arial"/>
      <scheme val="minor"/>
    </font>
    <font>
      <sz val="10.0"/>
      <color theme="1"/>
      <name val="Instrument Sans"/>
    </font>
    <font>
      <color rgb="FFFFFFFF"/>
      <name val="Space Grotesk"/>
    </font>
    <font>
      <color theme="1"/>
      <name val="Space Grotesk"/>
    </font>
    <font>
      <sz val="9.0"/>
      <color theme="1"/>
      <name val="Instrument Sans"/>
    </font>
    <font>
      <b/>
      <sz val="9.0"/>
      <color rgb="FFFFFFFF"/>
      <name val="Instrument Sans"/>
    </font>
    <font>
      <sz val="9.0"/>
      <color theme="1"/>
      <name val="Arial"/>
      <scheme val="minor"/>
    </font>
    <font>
      <b/>
      <sz val="9.0"/>
      <color rgb="FFFFFFFF"/>
      <name val="Arial"/>
      <scheme val="minor"/>
    </font>
    <font>
      <b/>
      <sz val="10.0"/>
      <color rgb="FFFFFFFF"/>
      <name val="Overpass Mono"/>
    </font>
    <font>
      <sz val="10.0"/>
      <color theme="1"/>
      <name val="Overpass Mono"/>
    </font>
    <font>
      <color theme="1"/>
      <name val="Overpass Mono"/>
    </font>
    <font>
      <color theme="1"/>
      <name val="Arial"/>
    </font>
    <font>
      <color theme="1"/>
      <name val="Overpass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13C42"/>
        <bgColor rgb="FF313C42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 vertical="center"/>
    </xf>
    <xf borderId="0" fillId="3" fontId="3" numFmtId="0" xfId="0" applyAlignment="1" applyFill="1" applyFont="1">
      <alignment horizontal="left" readingOrder="0" vertical="center"/>
    </xf>
    <xf borderId="0" fillId="3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3" fontId="7" numFmtId="0" xfId="0" applyAlignment="1" applyFont="1">
      <alignment readingOrder="0" vertical="center"/>
    </xf>
    <xf borderId="0" fillId="3" fontId="7" numFmtId="0" xfId="0" applyAlignment="1" applyFont="1">
      <alignment vertical="center"/>
    </xf>
    <xf borderId="0" fillId="3" fontId="1" numFmtId="0" xfId="0" applyAlignment="1" applyFont="1">
      <alignment vertical="center"/>
    </xf>
    <xf borderId="0" fillId="4" fontId="8" numFmtId="0" xfId="0" applyAlignment="1" applyFill="1" applyFont="1">
      <alignment readingOrder="0" vertical="center"/>
    </xf>
    <xf borderId="0" fillId="4" fontId="8" numFmtId="0" xfId="0" applyAlignment="1" applyFont="1">
      <alignment readingOrder="0" vertical="center"/>
    </xf>
    <xf borderId="0" fillId="3" fontId="9" numFmtId="0" xfId="0" applyAlignment="1" applyFont="1">
      <alignment readingOrder="0"/>
    </xf>
    <xf borderId="0" fillId="3" fontId="1" numFmtId="0" xfId="0" applyFont="1"/>
    <xf borderId="0" fillId="5" fontId="10" numFmtId="0" xfId="0" applyAlignment="1" applyFill="1" applyFont="1">
      <alignment readingOrder="0" vertical="center"/>
    </xf>
    <xf borderId="0" fillId="0" fontId="10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3" fontId="11" numFmtId="0" xfId="0" applyAlignment="1" applyFont="1">
      <alignment readingOrder="0" vertical="center"/>
    </xf>
    <xf borderId="0" fillId="3" fontId="12" numFmtId="0" xfId="0" applyAlignment="1" applyFont="1">
      <alignment vertical="center"/>
    </xf>
    <xf borderId="0" fillId="3" fontId="12" numFmtId="0" xfId="0" applyAlignment="1" applyFont="1">
      <alignment readingOrder="0" vertical="center"/>
    </xf>
    <xf borderId="0" fillId="0" fontId="10" numFmtId="9" xfId="0" applyAlignment="1" applyFont="1" applyNumberForma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0" numFmtId="164" xfId="0" applyAlignment="1" applyFont="1" applyNumberFormat="1">
      <alignment readingOrder="0" vertical="center"/>
    </xf>
    <xf borderId="0" fillId="0" fontId="13" numFmtId="165" xfId="0" applyAlignment="1" applyFont="1" applyNumberForma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4" fontId="14" numFmtId="0" xfId="0" applyAlignment="1" applyFont="1">
      <alignment readingOrder="0" shrinkToFit="0" vertical="center" wrapText="1"/>
    </xf>
    <xf borderId="0" fillId="4" fontId="14" numFmtId="166" xfId="0" applyAlignment="1" applyFont="1" applyNumberFormat="1">
      <alignment readingOrder="0" shrinkToFit="0" vertical="center" wrapText="1"/>
    </xf>
    <xf borderId="0" fillId="0" fontId="15" numFmtId="0" xfId="0" applyAlignment="1" applyFont="1">
      <alignment shrinkToFit="0" wrapText="1"/>
    </xf>
    <xf borderId="0" fillId="3" fontId="16" numFmtId="0" xfId="0" applyAlignment="1" applyFont="1">
      <alignment readingOrder="0" shrinkToFit="0" wrapText="1"/>
    </xf>
    <xf borderId="0" fillId="3" fontId="15" numFmtId="0" xfId="0" applyAlignment="1" applyFont="1">
      <alignment shrinkToFit="0" wrapText="1"/>
    </xf>
    <xf borderId="0" fillId="4" fontId="17" numFmtId="165" xfId="0" applyAlignment="1" applyFont="1" applyNumberFormat="1">
      <alignment readingOrder="0" vertical="center"/>
    </xf>
    <xf borderId="0" fillId="5" fontId="17" numFmtId="0" xfId="0" applyAlignment="1" applyFont="1">
      <alignment readingOrder="0" vertical="center"/>
    </xf>
    <xf borderId="0" fillId="4" fontId="17" numFmtId="0" xfId="0" applyAlignment="1" applyFont="1">
      <alignment readingOrder="0" vertical="center"/>
    </xf>
    <xf borderId="0" fillId="4" fontId="17" numFmtId="9" xfId="0" applyAlignment="1" applyFont="1" applyNumberFormat="1">
      <alignment readingOrder="0" vertical="center"/>
    </xf>
    <xf borderId="0" fillId="5" fontId="17" numFmtId="165" xfId="0" applyAlignment="1" applyFont="1" applyNumberFormat="1">
      <alignment readingOrder="0" vertical="center"/>
    </xf>
    <xf borderId="0" fillId="4" fontId="17" numFmtId="10" xfId="0" applyAlignment="1" applyFont="1" applyNumberFormat="1">
      <alignment readingOrder="0" vertical="center"/>
    </xf>
    <xf borderId="0" fillId="5" fontId="18" numFmtId="165" xfId="0" applyAlignment="1" applyFont="1" applyNumberFormat="1">
      <alignment readingOrder="0" vertical="center"/>
    </xf>
    <xf borderId="0" fillId="0" fontId="18" numFmtId="165" xfId="0" applyAlignment="1" applyFont="1" applyNumberFormat="1">
      <alignment readingOrder="0" vertical="center"/>
    </xf>
    <xf borderId="0" fillId="0" fontId="18" numFmtId="10" xfId="0" applyAlignment="1" applyFont="1" applyNumberFormat="1">
      <alignment readingOrder="0" vertical="center"/>
    </xf>
    <xf borderId="0" fillId="0" fontId="19" numFmtId="165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3" fontId="19" numFmtId="165" xfId="0" applyAlignment="1" applyFont="1" applyNumberFormat="1">
      <alignment horizontal="center" shrinkToFit="0" vertical="center" wrapText="1"/>
    </xf>
    <xf borderId="0" fillId="3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readingOrder="0" vertical="center"/>
    </xf>
    <xf borderId="0" fillId="3" fontId="5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13C42"/>
          <bgColor rgb="FF313C42"/>
        </patternFill>
      </fill>
      <border/>
    </dxf>
    <dxf>
      <font/>
      <fill>
        <patternFill patternType="solid">
          <fgColor rgb="FF6046FF"/>
          <bgColor rgb="FF6046FF"/>
        </patternFill>
      </fill>
      <border/>
    </dxf>
    <dxf>
      <font/>
      <fill>
        <patternFill patternType="solid">
          <fgColor rgb="FFECEDEE"/>
          <bgColor rgb="FFECEDEE"/>
        </patternFill>
      </fill>
      <border/>
    </dxf>
  </dxfs>
  <tableStyles count="8">
    <tableStyle count="3" pivot="0" name="Final version-style">
      <tableStyleElement dxfId="1" type="headerRow"/>
      <tableStyleElement dxfId="2" type="firstRowStripe"/>
      <tableStyleElement dxfId="3" type="secondRowStripe"/>
    </tableStyle>
    <tableStyle count="3" pivot="0" name="Final version-style 2">
      <tableStyleElement dxfId="1" type="headerRow"/>
      <tableStyleElement dxfId="2" type="firstRowStripe"/>
      <tableStyleElement dxfId="3" type="secondRowStripe"/>
    </tableStyle>
    <tableStyle count="3" pivot="0" name="Final version-style 3">
      <tableStyleElement dxfId="1" type="headerRow"/>
      <tableStyleElement dxfId="2" type="firstRowStripe"/>
      <tableStyleElement dxfId="3" type="secondRowStripe"/>
    </tableStyle>
    <tableStyle count="3" pivot="0" name="Final version-style 4">
      <tableStyleElement dxfId="1" type="headerRow"/>
      <tableStyleElement dxfId="2" type="firstRowStripe"/>
      <tableStyleElement dxfId="3" type="secondRowStripe"/>
    </tableStyle>
    <tableStyle count="2" pivot="0" name="Final version-style 5">
      <tableStyleElement dxfId="2" type="firstRowStripe"/>
      <tableStyleElement dxfId="3" type="secondRowStripe"/>
    </tableStyle>
    <tableStyle count="2" pivot="0" name="Final version-style 6">
      <tableStyleElement dxfId="2" type="firstRowStripe"/>
      <tableStyleElement dxfId="3" type="secondRowStripe"/>
    </tableStyle>
    <tableStyle count="2" pivot="0" name="Final version-style 7">
      <tableStyleElement dxfId="2" type="firstRowStripe"/>
      <tableStyleElement dxfId="3" type="secondRowStripe"/>
    </tableStyle>
    <tableStyle count="2" pivot="0" name="Final version-style 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85725</xdr:rowOff>
    </xdr:from>
    <xdr:ext cx="302895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1" displayName="Table_1" name="Table_1" id="1">
  <tableColumns count="1">
    <tableColumn name="Column1" id="1"/>
  </tableColumns>
  <tableStyleInfo name="Final vers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7" displayName="Table_2" name="Table_2" id="2">
  <tableColumns count="1">
    <tableColumn name="Column1" id="1"/>
  </tableColumns>
  <tableStyleInfo name="Final vers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25:M26" displayName="Table_3" name="Table_3" id="3">
  <tableColumns count="13">
    <tableColumn name="Monthly Spending" id="1"/>
    <tableColumn name="Usage (list price)" id="2"/>
    <tableColumn name="Free user licences" id="3"/>
    <tableColumn name="Support level" id="4"/>
    <tableColumn name="Reseller discount" id="5"/>
    <tableColumn name="Usage after discount" id="6"/>
    <tableColumn name="Committed amount" id="7"/>
    <tableColumn name="Amount Creditted" id="8"/>
    <tableColumn name="Cost of commitment _x000a_(yearly pre-paiement)" id="9"/>
    <tableColumn name="Cost of commitment (monthly projection)" id="10"/>
    <tableColumn name="True Up" id="11"/>
    <tableColumn name="Overage" id="12"/>
    <tableColumn name="Total Monthly cost (projected)" id="13"/>
  </tableColumns>
  <tableStyleInfo name="Final version-style 3" showColumnStripes="0" showFirstColumn="1" showLastColumn="1" showRowStripes="1"/>
</table>
</file>

<file path=xl/tables/table4.xml><?xml version="1.0" encoding="utf-8"?>
<table xmlns="http://schemas.openxmlformats.org/spreadsheetml/2006/main" ref="O25:O26" displayName="Table_4" name="Table_4" id="4">
  <tableColumns count="1">
    <tableColumn name="Blended discount" id="1"/>
  </tableColumns>
  <tableStyleInfo name="Final vers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9:M39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inal vers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O39" displayName="Table_6" name="Table_6" id="6">
  <tableColumns count="1">
    <tableColumn name="Column1" id="1"/>
  </tableColumns>
  <tableStyleInfo name="Final version-style 6" showColumnStripes="0" showFirstColumn="1" showLastColumn="1" showRowStripes="1"/>
</table>
</file>

<file path=xl/tables/table7.xml><?xml version="1.0" encoding="utf-8"?>
<table xmlns="http://schemas.openxmlformats.org/spreadsheetml/2006/main" headerRowCount="0" ref="A52:M52" displayName="Table_7" name="Table_7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inal version-style 7" showColumnStripes="0" showFirstColumn="1" showLastColumn="1" showRowStripes="1"/>
</table>
</file>

<file path=xl/tables/table8.xml><?xml version="1.0" encoding="utf-8"?>
<table xmlns="http://schemas.openxmlformats.org/spreadsheetml/2006/main" headerRowCount="0" ref="O52" displayName="Table_8" name="Table_8" id="8">
  <tableColumns count="1">
    <tableColumn name="Column1" id="1"/>
  </tableColumns>
  <tableStyleInfo name="Final version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5"/>
    <col customWidth="1" min="3" max="3" width="8.38"/>
    <col customWidth="1" min="4" max="4" width="9.38"/>
    <col customWidth="1" min="5" max="5" width="9.13"/>
    <col customWidth="1" min="6" max="6" width="12.88"/>
    <col customWidth="1" min="7" max="7" width="9.5"/>
    <col customWidth="1" min="8" max="8" width="10.88"/>
    <col customWidth="1" min="9" max="9" width="17.0"/>
    <col customWidth="1" min="10" max="10" width="16.5"/>
    <col customWidth="1" min="11" max="11" width="8.5"/>
    <col customWidth="1" min="12" max="12" width="8.88"/>
    <col customWidth="1" min="13" max="13" width="14.75"/>
    <col customWidth="1" min="14" max="14" width="5.88"/>
  </cols>
  <sheetData>
    <row r="1">
      <c r="A1" s="1">
        <v>5.0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2"/>
      <c r="B3" s="2"/>
      <c r="C3" s="2"/>
      <c r="D3" s="2"/>
      <c r="E3" s="2"/>
      <c r="F3" s="2"/>
      <c r="G3" s="3" t="s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2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4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5" t="s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7"/>
      <c r="O10" s="9"/>
      <c r="P10" s="9"/>
      <c r="Q10" s="9"/>
      <c r="R10" s="10"/>
      <c r="S10" s="9"/>
      <c r="T10" s="9"/>
      <c r="U10" s="9"/>
      <c r="V10" s="9"/>
      <c r="W10" s="11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ht="21.0" customHeight="1">
      <c r="A11" s="12" t="s">
        <v>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7"/>
      <c r="O11" s="14"/>
      <c r="P11" s="14"/>
      <c r="Q11" s="14"/>
      <c r="R11" s="15"/>
      <c r="S11" s="14"/>
      <c r="T11" s="14"/>
      <c r="U11" s="14"/>
      <c r="V11" s="14"/>
      <c r="W11" s="15"/>
    </row>
    <row r="12" ht="18.0" customHeight="1">
      <c r="A12" s="16" t="s">
        <v>4</v>
      </c>
      <c r="B12" s="17" t="s">
        <v>5</v>
      </c>
      <c r="C12" s="17"/>
      <c r="D12" s="17"/>
      <c r="E12" s="17"/>
      <c r="F12" s="17"/>
      <c r="G12" s="17"/>
      <c r="H12" s="18"/>
      <c r="I12" s="18"/>
      <c r="J12" s="18"/>
      <c r="K12" s="18"/>
      <c r="L12" s="18"/>
      <c r="M12" s="13"/>
      <c r="N12" s="7"/>
      <c r="O12" s="19"/>
      <c r="P12" s="19"/>
      <c r="Q12" s="19"/>
      <c r="R12" s="20"/>
      <c r="S12" s="21"/>
      <c r="T12" s="21"/>
      <c r="U12" s="21"/>
      <c r="V12" s="21"/>
      <c r="W12" s="11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ht="16.5" customHeight="1">
      <c r="A13" s="16" t="s">
        <v>6</v>
      </c>
      <c r="B13" s="17" t="s">
        <v>7</v>
      </c>
      <c r="C13" s="17"/>
      <c r="D13" s="17"/>
      <c r="E13" s="17"/>
      <c r="F13" s="17"/>
      <c r="G13" s="17"/>
      <c r="H13" s="18"/>
      <c r="I13" s="18"/>
      <c r="J13" s="18"/>
      <c r="K13" s="18"/>
      <c r="L13" s="18"/>
      <c r="M13" s="13"/>
      <c r="N13" s="7"/>
      <c r="O13" s="9"/>
      <c r="P13" s="9"/>
      <c r="Q13" s="9"/>
      <c r="R13" s="10"/>
      <c r="S13" s="9"/>
      <c r="T13" s="9"/>
      <c r="U13" s="9"/>
      <c r="V13" s="9"/>
      <c r="W13" s="11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ht="16.5" customHeight="1">
      <c r="A14" s="16" t="s">
        <v>8</v>
      </c>
      <c r="B14" s="17" t="s">
        <v>9</v>
      </c>
      <c r="C14" s="17"/>
      <c r="D14" s="17"/>
      <c r="E14" s="17"/>
      <c r="F14" s="17"/>
      <c r="G14" s="17"/>
      <c r="H14" s="18"/>
      <c r="I14" s="18"/>
      <c r="J14" s="18"/>
      <c r="K14" s="18"/>
      <c r="L14" s="18"/>
      <c r="M14" s="13"/>
      <c r="N14" s="7"/>
      <c r="O14" s="9"/>
      <c r="P14" s="9"/>
      <c r="Q14" s="9"/>
      <c r="R14" s="10"/>
      <c r="S14" s="9"/>
      <c r="T14" s="9"/>
      <c r="U14" s="9"/>
      <c r="V14" s="9"/>
      <c r="W14" s="11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>
      <c r="A15" s="16" t="s">
        <v>10</v>
      </c>
      <c r="B15" s="17" t="s">
        <v>11</v>
      </c>
      <c r="C15" s="17"/>
      <c r="D15" s="17"/>
      <c r="E15" s="17"/>
      <c r="F15" s="17"/>
      <c r="G15" s="17"/>
      <c r="H15" s="18"/>
      <c r="I15" s="18"/>
      <c r="J15" s="18"/>
      <c r="K15" s="18"/>
      <c r="L15" s="18"/>
      <c r="M15" s="13"/>
      <c r="N15" s="7"/>
      <c r="O15" s="9"/>
      <c r="P15" s="9"/>
      <c r="Q15" s="9"/>
      <c r="R15" s="10"/>
      <c r="S15" s="9"/>
      <c r="T15" s="9"/>
      <c r="U15" s="9"/>
      <c r="V15" s="9"/>
      <c r="W15" s="11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ht="16.5" customHeight="1">
      <c r="A16" s="17" t="s">
        <v>12</v>
      </c>
      <c r="B16" s="17" t="s">
        <v>13</v>
      </c>
      <c r="C16" s="17"/>
      <c r="D16" s="17"/>
      <c r="E16" s="17"/>
      <c r="F16" s="17"/>
      <c r="G16" s="17"/>
      <c r="H16" s="18"/>
      <c r="I16" s="18"/>
      <c r="J16" s="18"/>
      <c r="K16" s="18"/>
      <c r="L16" s="18"/>
      <c r="M16" s="13"/>
      <c r="N16" s="7"/>
      <c r="O16" s="9"/>
      <c r="P16" s="9"/>
      <c r="Q16" s="9"/>
      <c r="R16" s="10"/>
      <c r="S16" s="9"/>
      <c r="T16" s="9"/>
      <c r="U16" s="9"/>
      <c r="V16" s="9"/>
      <c r="W16" s="11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ht="21.0" customHeight="1">
      <c r="A17" s="12" t="s"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7"/>
      <c r="O17" s="14"/>
      <c r="P17" s="14"/>
      <c r="Q17" s="14"/>
      <c r="R17" s="15"/>
      <c r="S17" s="14"/>
      <c r="T17" s="14"/>
      <c r="U17" s="14"/>
      <c r="V17" s="14"/>
      <c r="W17" s="15"/>
    </row>
    <row r="18" ht="18.0" customHeight="1">
      <c r="A18" s="17" t="s">
        <v>15</v>
      </c>
      <c r="B18" s="22">
        <f>if(AND(B15="Reseller", B12 &lt;&gt; "Registered"), 10%, 0%)</f>
        <v>0.1</v>
      </c>
      <c r="C18" s="17" t="s">
        <v>16</v>
      </c>
      <c r="E18" s="17"/>
      <c r="G18" s="17"/>
      <c r="H18" s="17"/>
      <c r="I18" s="17"/>
      <c r="J18" s="17"/>
      <c r="K18" s="17"/>
      <c r="L18" s="17"/>
      <c r="M18" s="8"/>
      <c r="N18" s="7"/>
      <c r="O18" s="19"/>
      <c r="P18" s="19"/>
      <c r="Q18" s="19"/>
      <c r="R18" s="20"/>
      <c r="S18" s="21"/>
      <c r="T18" s="21"/>
      <c r="U18" s="21"/>
      <c r="V18" s="21"/>
      <c r="W18" s="11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ht="16.5" customHeight="1">
      <c r="A19" s="17" t="s">
        <v>17</v>
      </c>
      <c r="B19" s="22">
        <f>if(B13="Monthly Spending",ifs(B14="12 months",10%,B14="24 months", 15%, B14="36 months", 20%),0)+if(B13="Annual Spending",ifs(B14="12 months",5%,B14="24 months", 10%, B14="36 months", 15%),0) </f>
        <v>0.2</v>
      </c>
      <c r="C19" s="17" t="s">
        <v>18</v>
      </c>
      <c r="E19" s="17"/>
      <c r="G19" s="17"/>
      <c r="H19" s="17"/>
      <c r="I19" s="17"/>
      <c r="J19" s="17"/>
      <c r="K19" s="17"/>
      <c r="L19" s="17"/>
      <c r="M19" s="8"/>
      <c r="N19" s="7"/>
      <c r="O19" s="9"/>
      <c r="P19" s="9"/>
      <c r="Q19" s="9"/>
      <c r="R19" s="10"/>
      <c r="S19" s="9"/>
      <c r="T19" s="9"/>
      <c r="U19" s="9"/>
      <c r="V19" s="9"/>
      <c r="W19" s="11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ht="16.5" customHeight="1">
      <c r="A20" s="17" t="s">
        <v>19</v>
      </c>
      <c r="B20" s="22">
        <f>if(B15="Reseller", if(B13="Monthly Spending",if(B12="Gold",5%,if(OR(B12="Platinum",B12="Diamond"),7%,0)),0),0)</f>
        <v>0.07</v>
      </c>
      <c r="C20" s="17" t="s">
        <v>18</v>
      </c>
      <c r="E20" s="17"/>
      <c r="G20" s="17"/>
      <c r="H20" s="17"/>
      <c r="I20" s="17"/>
      <c r="J20" s="17"/>
      <c r="K20" s="17"/>
      <c r="L20" s="17"/>
      <c r="M20" s="8"/>
      <c r="N20" s="17"/>
      <c r="O20" s="9"/>
      <c r="P20" s="9"/>
      <c r="Q20" s="9"/>
      <c r="R20" s="10"/>
      <c r="S20" s="9"/>
      <c r="T20" s="9"/>
      <c r="U20" s="9"/>
      <c r="V20" s="9"/>
      <c r="W20" s="11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ht="16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8"/>
      <c r="N21" s="17"/>
      <c r="O21" s="9"/>
      <c r="P21" s="9"/>
      <c r="Q21" s="9"/>
      <c r="R21" s="10"/>
      <c r="S21" s="9"/>
      <c r="T21" s="9"/>
      <c r="U21" s="9"/>
      <c r="V21" s="9"/>
      <c r="W21" s="11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>
      <c r="A22" s="23" t="s">
        <v>20</v>
      </c>
      <c r="B22" s="22">
        <f>if(B12 &lt;&gt; "Registered",10%,0%)</f>
        <v>0.1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8"/>
      <c r="N22" s="17"/>
      <c r="O22" s="9"/>
      <c r="P22" s="9"/>
      <c r="Q22" s="9"/>
      <c r="R22" s="10"/>
      <c r="S22" s="9"/>
      <c r="T22" s="9"/>
      <c r="U22" s="9"/>
      <c r="V22" s="9"/>
      <c r="W22" s="11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>
      <c r="A23" s="23" t="s">
        <v>21</v>
      </c>
      <c r="B23" s="24">
        <f>ifs(B12="Gold",2%, B12="Platinum",3.5%, B12="Diamond", 5%, 1=1, 0%)</f>
        <v>0.035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8"/>
      <c r="N23" s="17"/>
      <c r="O23" s="9"/>
      <c r="P23" s="9"/>
      <c r="Q23" s="9"/>
      <c r="R23" s="10"/>
      <c r="S23" s="9"/>
      <c r="T23" s="9"/>
      <c r="U23" s="9"/>
      <c r="V23" s="9"/>
      <c r="W23" s="11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>
      <c r="A24" s="6"/>
      <c r="B24" s="7"/>
      <c r="C24" s="25">
        <v>19.0</v>
      </c>
      <c r="D24" s="7"/>
      <c r="E24" s="7"/>
      <c r="F24" s="26" t="str">
        <f>CONCATENATE("Average monthly cost: $",floor(AVERAGE(F27:F38),1))</f>
        <v>Average monthly cost: $1262</v>
      </c>
      <c r="G24" s="7"/>
      <c r="H24" s="7"/>
      <c r="I24" s="26" t="str">
        <f>CONCATENATE("with ",$B$19*100,"% commitment discount + ",$B$20*100,"% commitment bonus")</f>
        <v>with 20% commitment discount + 7% commitment bonus</v>
      </c>
      <c r="K24" s="7"/>
      <c r="L24" s="7"/>
      <c r="M24" s="7"/>
      <c r="N24" s="8"/>
      <c r="O24" s="7"/>
      <c r="P24" s="9"/>
      <c r="Q24" s="9"/>
      <c r="R24" s="9"/>
      <c r="S24" s="10"/>
      <c r="T24" s="9"/>
      <c r="U24" s="9"/>
      <c r="V24" s="9"/>
      <c r="W24" s="9"/>
      <c r="X24" s="11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>
      <c r="A25" s="27" t="s">
        <v>7</v>
      </c>
      <c r="B25" s="27" t="s">
        <v>22</v>
      </c>
      <c r="C25" s="28" t="s">
        <v>23</v>
      </c>
      <c r="D25" s="27" t="s">
        <v>24</v>
      </c>
      <c r="E25" s="27" t="s">
        <v>15</v>
      </c>
      <c r="F25" s="27" t="s">
        <v>25</v>
      </c>
      <c r="G25" s="27" t="s">
        <v>26</v>
      </c>
      <c r="H25" s="27" t="s">
        <v>27</v>
      </c>
      <c r="I25" s="27" t="s">
        <v>28</v>
      </c>
      <c r="J25" s="27" t="s">
        <v>29</v>
      </c>
      <c r="K25" s="27" t="s">
        <v>30</v>
      </c>
      <c r="L25" s="27" t="s">
        <v>31</v>
      </c>
      <c r="M25" s="27" t="s">
        <v>32</v>
      </c>
      <c r="N25" s="29"/>
      <c r="O25" s="27" t="s">
        <v>33</v>
      </c>
      <c r="P25" s="30"/>
      <c r="Q25" s="30"/>
      <c r="R25" s="30"/>
      <c r="S25" s="31"/>
      <c r="T25" s="30"/>
      <c r="U25" s="30"/>
      <c r="V25" s="30"/>
      <c r="W25" s="30"/>
      <c r="X25" s="31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ht="16.5" customHeight="1">
      <c r="A26" s="12" t="s">
        <v>34</v>
      </c>
      <c r="B26" s="32">
        <f>SUM(B27:B38)</f>
        <v>20512</v>
      </c>
      <c r="C26" s="33">
        <v>10.0</v>
      </c>
      <c r="D26" s="34" t="s">
        <v>35</v>
      </c>
      <c r="E26" s="35">
        <f>B18</f>
        <v>0.1</v>
      </c>
      <c r="F26" s="32">
        <f>SUM(F27:F38)</f>
        <v>15155.2</v>
      </c>
      <c r="G26" s="36">
        <v>14000.0</v>
      </c>
      <c r="H26" s="32">
        <f>G26</f>
        <v>14000</v>
      </c>
      <c r="I26" s="32">
        <f>H26*(1-($B$19+$B$20))</f>
        <v>10220</v>
      </c>
      <c r="J26" s="32">
        <f>I26/12</f>
        <v>851.6666667</v>
      </c>
      <c r="K26" s="32">
        <f t="shared" ref="K26:M26" si="1">sum(K27:K38)</f>
        <v>1911.466667</v>
      </c>
      <c r="L26" s="32">
        <f t="shared" si="1"/>
        <v>3066.666667</v>
      </c>
      <c r="M26" s="32">
        <f t="shared" si="1"/>
        <v>13286.66667</v>
      </c>
      <c r="N26" s="8"/>
      <c r="O26" s="37">
        <f t="shared" ref="O26:O64" si="2">(M26-B26)/B26</f>
        <v>-0.35224909</v>
      </c>
      <c r="P26" s="9"/>
      <c r="Q26" s="9"/>
      <c r="R26" s="9"/>
      <c r="S26" s="10"/>
      <c r="T26" s="9"/>
      <c r="U26" s="9"/>
      <c r="V26" s="9"/>
      <c r="W26" s="9"/>
      <c r="X26" s="11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ht="16.5" customHeight="1">
      <c r="A27" s="17" t="s">
        <v>36</v>
      </c>
      <c r="B27" s="38">
        <v>1512.0</v>
      </c>
      <c r="C27" s="39">
        <f t="shared" ref="C27:C38" si="3">-C$24*C$26</f>
        <v>-190</v>
      </c>
      <c r="D27" s="39">
        <f t="shared" ref="D27:D38" si="4">ifs(D$26="Advanced Support", B27*-0.05,D$26="Premium Support", B27*-0.04, 1=1, "")</f>
        <v>-75.6</v>
      </c>
      <c r="E27" s="39">
        <f t="shared" ref="E27:E38" si="5">-E$26*B27</f>
        <v>-151.2</v>
      </c>
      <c r="F27" s="39">
        <f t="shared" ref="F27:F38" si="6">B27+C27+D27+E27</f>
        <v>1095.2</v>
      </c>
      <c r="G27" s="39">
        <f t="shared" ref="G27:G38" si="7">G$26/12</f>
        <v>1166.666667</v>
      </c>
      <c r="H27" s="39"/>
      <c r="I27" s="39"/>
      <c r="J27" s="39"/>
      <c r="K27" s="39">
        <f t="shared" ref="K27:K38" si="8">if(G27-F27&gt;0,G27-F27,"")</f>
        <v>71.46666667</v>
      </c>
      <c r="L27" s="39" t="str">
        <f t="shared" ref="L27:L38" si="9">if(F27-G27&gt;0,F27-G27,"")</f>
        <v/>
      </c>
      <c r="M27" s="39">
        <f t="shared" ref="M27:M38" si="10">($I$26/12)+L27</f>
        <v>851.6666667</v>
      </c>
      <c r="N27" s="8"/>
      <c r="O27" s="40">
        <f t="shared" si="2"/>
        <v>-0.4367283951</v>
      </c>
      <c r="P27" s="9"/>
      <c r="Q27" s="9"/>
      <c r="R27" s="9"/>
      <c r="S27" s="10"/>
      <c r="T27" s="9"/>
      <c r="U27" s="9"/>
      <c r="V27" s="9"/>
      <c r="W27" s="9"/>
      <c r="X27" s="11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ht="16.5" customHeight="1">
      <c r="A28" s="17" t="s">
        <v>37</v>
      </c>
      <c r="B28" s="38">
        <v>1800.0</v>
      </c>
      <c r="C28" s="39">
        <f t="shared" si="3"/>
        <v>-190</v>
      </c>
      <c r="D28" s="39">
        <f t="shared" si="4"/>
        <v>-90</v>
      </c>
      <c r="E28" s="39">
        <f t="shared" si="5"/>
        <v>-180</v>
      </c>
      <c r="F28" s="39">
        <f t="shared" si="6"/>
        <v>1340</v>
      </c>
      <c r="G28" s="39">
        <f t="shared" si="7"/>
        <v>1166.666667</v>
      </c>
      <c r="H28" s="39"/>
      <c r="I28" s="39"/>
      <c r="J28" s="39"/>
      <c r="K28" s="39" t="str">
        <f t="shared" si="8"/>
        <v/>
      </c>
      <c r="L28" s="39">
        <f t="shared" si="9"/>
        <v>173.3333333</v>
      </c>
      <c r="M28" s="39">
        <f t="shared" si="10"/>
        <v>1025</v>
      </c>
      <c r="N28" s="8"/>
      <c r="O28" s="40">
        <f t="shared" si="2"/>
        <v>-0.4305555556</v>
      </c>
      <c r="P28" s="9"/>
      <c r="Q28" s="9"/>
      <c r="R28" s="9"/>
      <c r="S28" s="10"/>
      <c r="T28" s="9"/>
      <c r="U28" s="9"/>
      <c r="V28" s="9"/>
      <c r="W28" s="9"/>
      <c r="X28" s="11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>
      <c r="A29" s="17" t="s">
        <v>38</v>
      </c>
      <c r="B29" s="38">
        <v>1200.0</v>
      </c>
      <c r="C29" s="39">
        <f t="shared" si="3"/>
        <v>-190</v>
      </c>
      <c r="D29" s="39">
        <f t="shared" si="4"/>
        <v>-60</v>
      </c>
      <c r="E29" s="39">
        <f t="shared" si="5"/>
        <v>-120</v>
      </c>
      <c r="F29" s="39">
        <f t="shared" si="6"/>
        <v>830</v>
      </c>
      <c r="G29" s="39">
        <f t="shared" si="7"/>
        <v>1166.666667</v>
      </c>
      <c r="H29" s="39"/>
      <c r="I29" s="39"/>
      <c r="J29" s="39"/>
      <c r="K29" s="39">
        <f t="shared" si="8"/>
        <v>336.6666667</v>
      </c>
      <c r="L29" s="39" t="str">
        <f t="shared" si="9"/>
        <v/>
      </c>
      <c r="M29" s="39">
        <f t="shared" si="10"/>
        <v>851.6666667</v>
      </c>
      <c r="N29" s="8"/>
      <c r="O29" s="40">
        <f t="shared" si="2"/>
        <v>-0.2902777778</v>
      </c>
      <c r="P29" s="9"/>
      <c r="Q29" s="9"/>
      <c r="R29" s="9"/>
      <c r="S29" s="10"/>
      <c r="T29" s="9"/>
      <c r="U29" s="9"/>
      <c r="V29" s="9"/>
      <c r="W29" s="9"/>
      <c r="X29" s="11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>
      <c r="A30" s="17" t="s">
        <v>39</v>
      </c>
      <c r="B30" s="38">
        <v>1500.0</v>
      </c>
      <c r="C30" s="39">
        <f t="shared" si="3"/>
        <v>-190</v>
      </c>
      <c r="D30" s="39">
        <f t="shared" si="4"/>
        <v>-75</v>
      </c>
      <c r="E30" s="39">
        <f t="shared" si="5"/>
        <v>-150</v>
      </c>
      <c r="F30" s="39">
        <f t="shared" si="6"/>
        <v>1085</v>
      </c>
      <c r="G30" s="39">
        <f t="shared" si="7"/>
        <v>1166.666667</v>
      </c>
      <c r="H30" s="41"/>
      <c r="I30" s="41"/>
      <c r="J30" s="41"/>
      <c r="K30" s="39">
        <f t="shared" si="8"/>
        <v>81.66666667</v>
      </c>
      <c r="L30" s="39" t="str">
        <f t="shared" si="9"/>
        <v/>
      </c>
      <c r="M30" s="39">
        <f t="shared" si="10"/>
        <v>851.6666667</v>
      </c>
      <c r="N30" s="42"/>
      <c r="O30" s="40">
        <f t="shared" si="2"/>
        <v>-0.4322222222</v>
      </c>
      <c r="P30" s="8"/>
      <c r="Q30" s="8"/>
      <c r="R30" s="8"/>
      <c r="S30" s="8"/>
      <c r="T30" s="8"/>
      <c r="U30" s="8"/>
      <c r="V30" s="43"/>
      <c r="W30" s="43"/>
      <c r="X30" s="43"/>
      <c r="Y30" s="43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>
      <c r="A31" s="17" t="s">
        <v>40</v>
      </c>
      <c r="B31" s="38">
        <v>5000.0</v>
      </c>
      <c r="C31" s="39">
        <f t="shared" si="3"/>
        <v>-190</v>
      </c>
      <c r="D31" s="39">
        <f t="shared" si="4"/>
        <v>-250</v>
      </c>
      <c r="E31" s="39">
        <f t="shared" si="5"/>
        <v>-500</v>
      </c>
      <c r="F31" s="39">
        <f t="shared" si="6"/>
        <v>4060</v>
      </c>
      <c r="G31" s="39">
        <f t="shared" si="7"/>
        <v>1166.666667</v>
      </c>
      <c r="H31" s="44"/>
      <c r="I31" s="44"/>
      <c r="J31" s="44"/>
      <c r="K31" s="39" t="str">
        <f t="shared" si="8"/>
        <v/>
      </c>
      <c r="L31" s="39">
        <f t="shared" si="9"/>
        <v>2893.333333</v>
      </c>
      <c r="M31" s="39">
        <f t="shared" si="10"/>
        <v>3745</v>
      </c>
      <c r="N31" s="45"/>
      <c r="O31" s="40">
        <f t="shared" si="2"/>
        <v>-0.251</v>
      </c>
      <c r="P31" s="8"/>
      <c r="Q31" s="8"/>
      <c r="R31" s="8"/>
      <c r="S31" s="8"/>
      <c r="T31" s="8"/>
      <c r="U31" s="8"/>
      <c r="V31" s="46"/>
      <c r="W31" s="46"/>
      <c r="X31" s="46"/>
      <c r="Y31" s="46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>
      <c r="A32" s="17" t="s">
        <v>41</v>
      </c>
      <c r="B32" s="38">
        <v>500.0</v>
      </c>
      <c r="C32" s="39">
        <f t="shared" si="3"/>
        <v>-190</v>
      </c>
      <c r="D32" s="39">
        <f t="shared" si="4"/>
        <v>-25</v>
      </c>
      <c r="E32" s="39">
        <f t="shared" si="5"/>
        <v>-50</v>
      </c>
      <c r="F32" s="39">
        <f t="shared" si="6"/>
        <v>235</v>
      </c>
      <c r="G32" s="39">
        <f t="shared" si="7"/>
        <v>1166.666667</v>
      </c>
      <c r="H32" s="44"/>
      <c r="I32" s="44"/>
      <c r="J32" s="44"/>
      <c r="K32" s="39">
        <f t="shared" si="8"/>
        <v>931.6666667</v>
      </c>
      <c r="L32" s="39" t="str">
        <f t="shared" si="9"/>
        <v/>
      </c>
      <c r="M32" s="39">
        <f t="shared" si="10"/>
        <v>851.6666667</v>
      </c>
      <c r="N32" s="45"/>
      <c r="O32" s="40">
        <f t="shared" si="2"/>
        <v>0.7033333333</v>
      </c>
      <c r="P32" s="8"/>
      <c r="Q32" s="8"/>
      <c r="R32" s="8"/>
      <c r="S32" s="8"/>
      <c r="T32" s="8"/>
      <c r="U32" s="8"/>
      <c r="V32" s="43"/>
      <c r="W32" s="43"/>
      <c r="X32" s="43"/>
      <c r="Y32" s="43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>
      <c r="A33" s="17" t="s">
        <v>42</v>
      </c>
      <c r="B33" s="38">
        <v>1500.0</v>
      </c>
      <c r="C33" s="39">
        <f t="shared" si="3"/>
        <v>-190</v>
      </c>
      <c r="D33" s="39">
        <f t="shared" si="4"/>
        <v>-75</v>
      </c>
      <c r="E33" s="39">
        <f t="shared" si="5"/>
        <v>-150</v>
      </c>
      <c r="F33" s="39">
        <f t="shared" si="6"/>
        <v>1085</v>
      </c>
      <c r="G33" s="39">
        <f t="shared" si="7"/>
        <v>1166.666667</v>
      </c>
      <c r="H33" s="44"/>
      <c r="I33" s="44"/>
      <c r="J33" s="44"/>
      <c r="K33" s="39">
        <f t="shared" si="8"/>
        <v>81.66666667</v>
      </c>
      <c r="L33" s="39" t="str">
        <f t="shared" si="9"/>
        <v/>
      </c>
      <c r="M33" s="39">
        <f t="shared" si="10"/>
        <v>851.6666667</v>
      </c>
      <c r="N33" s="45"/>
      <c r="O33" s="40">
        <f t="shared" si="2"/>
        <v>-0.4322222222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>
      <c r="A34" s="17" t="s">
        <v>43</v>
      </c>
      <c r="B34" s="38">
        <v>1500.0</v>
      </c>
      <c r="C34" s="39">
        <f t="shared" si="3"/>
        <v>-190</v>
      </c>
      <c r="D34" s="39">
        <f t="shared" si="4"/>
        <v>-75</v>
      </c>
      <c r="E34" s="39">
        <f t="shared" si="5"/>
        <v>-150</v>
      </c>
      <c r="F34" s="39">
        <f t="shared" si="6"/>
        <v>1085</v>
      </c>
      <c r="G34" s="39">
        <f t="shared" si="7"/>
        <v>1166.666667</v>
      </c>
      <c r="H34" s="44"/>
      <c r="I34" s="44"/>
      <c r="J34" s="44"/>
      <c r="K34" s="39">
        <f t="shared" si="8"/>
        <v>81.66666667</v>
      </c>
      <c r="L34" s="39" t="str">
        <f t="shared" si="9"/>
        <v/>
      </c>
      <c r="M34" s="39">
        <f t="shared" si="10"/>
        <v>851.6666667</v>
      </c>
      <c r="N34" s="45"/>
      <c r="O34" s="40">
        <f t="shared" si="2"/>
        <v>-0.4322222222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>
      <c r="A35" s="17" t="s">
        <v>44</v>
      </c>
      <c r="B35" s="38">
        <v>1500.0</v>
      </c>
      <c r="C35" s="39">
        <f t="shared" si="3"/>
        <v>-190</v>
      </c>
      <c r="D35" s="39">
        <f t="shared" si="4"/>
        <v>-75</v>
      </c>
      <c r="E35" s="39">
        <f t="shared" si="5"/>
        <v>-150</v>
      </c>
      <c r="F35" s="39">
        <f t="shared" si="6"/>
        <v>1085</v>
      </c>
      <c r="G35" s="39">
        <f t="shared" si="7"/>
        <v>1166.666667</v>
      </c>
      <c r="H35" s="44"/>
      <c r="I35" s="44"/>
      <c r="J35" s="44"/>
      <c r="K35" s="39">
        <f t="shared" si="8"/>
        <v>81.66666667</v>
      </c>
      <c r="L35" s="39" t="str">
        <f t="shared" si="9"/>
        <v/>
      </c>
      <c r="M35" s="39">
        <f t="shared" si="10"/>
        <v>851.6666667</v>
      </c>
      <c r="N35" s="45"/>
      <c r="O35" s="40">
        <f t="shared" si="2"/>
        <v>-0.4322222222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>
      <c r="A36" s="17" t="s">
        <v>45</v>
      </c>
      <c r="B36" s="38">
        <v>1500.0</v>
      </c>
      <c r="C36" s="39">
        <f t="shared" si="3"/>
        <v>-190</v>
      </c>
      <c r="D36" s="39">
        <f t="shared" si="4"/>
        <v>-75</v>
      </c>
      <c r="E36" s="39">
        <f t="shared" si="5"/>
        <v>-150</v>
      </c>
      <c r="F36" s="39">
        <f t="shared" si="6"/>
        <v>1085</v>
      </c>
      <c r="G36" s="39">
        <f t="shared" si="7"/>
        <v>1166.666667</v>
      </c>
      <c r="H36" s="44"/>
      <c r="I36" s="44"/>
      <c r="J36" s="44"/>
      <c r="K36" s="39">
        <f t="shared" si="8"/>
        <v>81.66666667</v>
      </c>
      <c r="L36" s="39" t="str">
        <f t="shared" si="9"/>
        <v/>
      </c>
      <c r="M36" s="39">
        <f t="shared" si="10"/>
        <v>851.6666667</v>
      </c>
      <c r="N36" s="45"/>
      <c r="O36" s="40">
        <f t="shared" si="2"/>
        <v>-0.4322222222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>
      <c r="A37" s="17" t="s">
        <v>46</v>
      </c>
      <c r="B37" s="38">
        <v>1500.0</v>
      </c>
      <c r="C37" s="39">
        <f t="shared" si="3"/>
        <v>-190</v>
      </c>
      <c r="D37" s="39">
        <f t="shared" si="4"/>
        <v>-75</v>
      </c>
      <c r="E37" s="39">
        <f t="shared" si="5"/>
        <v>-150</v>
      </c>
      <c r="F37" s="39">
        <f t="shared" si="6"/>
        <v>1085</v>
      </c>
      <c r="G37" s="39">
        <f t="shared" si="7"/>
        <v>1166.666667</v>
      </c>
      <c r="H37" s="44"/>
      <c r="I37" s="44"/>
      <c r="J37" s="44"/>
      <c r="K37" s="39">
        <f t="shared" si="8"/>
        <v>81.66666667</v>
      </c>
      <c r="L37" s="39" t="str">
        <f t="shared" si="9"/>
        <v/>
      </c>
      <c r="M37" s="39">
        <f t="shared" si="10"/>
        <v>851.6666667</v>
      </c>
      <c r="N37" s="45"/>
      <c r="O37" s="40">
        <f t="shared" si="2"/>
        <v>-0.4322222222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>
      <c r="A38" s="17" t="s">
        <v>47</v>
      </c>
      <c r="B38" s="38">
        <v>1500.0</v>
      </c>
      <c r="C38" s="39">
        <f t="shared" si="3"/>
        <v>-190</v>
      </c>
      <c r="D38" s="39">
        <f t="shared" si="4"/>
        <v>-75</v>
      </c>
      <c r="E38" s="39">
        <f t="shared" si="5"/>
        <v>-150</v>
      </c>
      <c r="F38" s="39">
        <f t="shared" si="6"/>
        <v>1085</v>
      </c>
      <c r="G38" s="39">
        <f t="shared" si="7"/>
        <v>1166.666667</v>
      </c>
      <c r="H38" s="44"/>
      <c r="I38" s="44"/>
      <c r="J38" s="44"/>
      <c r="K38" s="39">
        <f t="shared" si="8"/>
        <v>81.66666667</v>
      </c>
      <c r="L38" s="39" t="str">
        <f t="shared" si="9"/>
        <v/>
      </c>
      <c r="M38" s="39">
        <f t="shared" si="10"/>
        <v>851.6666667</v>
      </c>
      <c r="N38" s="45"/>
      <c r="O38" s="40">
        <f t="shared" si="2"/>
        <v>-0.4322222222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ht="16.5" customHeight="1">
      <c r="A39" s="12" t="s">
        <v>48</v>
      </c>
      <c r="B39" s="32">
        <f>SUM(B40:B51)</f>
        <v>20512</v>
      </c>
      <c r="C39" s="33">
        <f>C26</f>
        <v>10</v>
      </c>
      <c r="D39" s="32"/>
      <c r="E39" s="32"/>
      <c r="F39" s="32">
        <f>SUM(F40:F51)</f>
        <v>15155.2</v>
      </c>
      <c r="G39" s="36">
        <v>15000.0</v>
      </c>
      <c r="H39" s="32">
        <f>G39</f>
        <v>15000</v>
      </c>
      <c r="I39" s="32">
        <f>H39*(1-($B$19+$B$20))</f>
        <v>10950</v>
      </c>
      <c r="J39" s="32">
        <f>I39/12</f>
        <v>912.5</v>
      </c>
      <c r="K39" s="32">
        <f t="shared" ref="K39:M39" si="11">sum(K40:K51)</f>
        <v>2744.8</v>
      </c>
      <c r="L39" s="32">
        <f t="shared" si="11"/>
        <v>2900</v>
      </c>
      <c r="M39" s="32">
        <f t="shared" si="11"/>
        <v>13850</v>
      </c>
      <c r="N39" s="8"/>
      <c r="O39" s="37">
        <f t="shared" si="2"/>
        <v>-0.3247854914</v>
      </c>
      <c r="P39" s="9"/>
      <c r="Q39" s="9"/>
      <c r="R39" s="9"/>
      <c r="S39" s="10"/>
      <c r="T39" s="9"/>
      <c r="U39" s="9"/>
      <c r="V39" s="9"/>
      <c r="W39" s="9"/>
      <c r="X39" s="11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ht="16.5" customHeight="1">
      <c r="A40" s="17" t="s">
        <v>36</v>
      </c>
      <c r="B40" s="38">
        <v>1512.0</v>
      </c>
      <c r="C40" s="39">
        <f>-C$24*C$39</f>
        <v>-190</v>
      </c>
      <c r="D40" s="39">
        <f t="shared" ref="D40:D51" si="12">ifs(D$26="Advanced Support", B40*-0.05,D$26="Premium Support", B40*-0.04, 1=1, "")</f>
        <v>-75.6</v>
      </c>
      <c r="E40" s="39">
        <f t="shared" ref="E40:E51" si="13">-E$26*B40</f>
        <v>-151.2</v>
      </c>
      <c r="F40" s="39">
        <f t="shared" ref="F40:F51" si="14">B40+C40+D40+E40</f>
        <v>1095.2</v>
      </c>
      <c r="G40" s="39">
        <f t="shared" ref="G40:G51" si="15">G$39/12</f>
        <v>1250</v>
      </c>
      <c r="H40" s="39"/>
      <c r="I40" s="39"/>
      <c r="J40" s="39"/>
      <c r="K40" s="39">
        <f t="shared" ref="K40:K51" si="16">if(G40-F40&gt;0,G40-F40,"")</f>
        <v>154.8</v>
      </c>
      <c r="L40" s="39" t="str">
        <f t="shared" ref="L40:L51" si="17">if(F40-G40&gt;0,F40-G40,"")</f>
        <v/>
      </c>
      <c r="M40" s="39">
        <f t="shared" ref="M40:M51" si="18">($I$39/12)+L40</f>
        <v>912.5</v>
      </c>
      <c r="N40" s="8"/>
      <c r="O40" s="40">
        <f t="shared" si="2"/>
        <v>-0.396494709</v>
      </c>
      <c r="P40" s="9"/>
      <c r="Q40" s="9"/>
      <c r="R40" s="9"/>
      <c r="S40" s="10"/>
      <c r="T40" s="9"/>
      <c r="U40" s="9"/>
      <c r="V40" s="9"/>
      <c r="W40" s="9"/>
      <c r="X40" s="11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ht="16.5" customHeight="1">
      <c r="A41" s="17" t="s">
        <v>37</v>
      </c>
      <c r="B41" s="38">
        <v>1800.0</v>
      </c>
      <c r="C41" s="39">
        <f t="shared" ref="C41:C51" si="19">-C$24*C$26</f>
        <v>-190</v>
      </c>
      <c r="D41" s="39">
        <f t="shared" si="12"/>
        <v>-90</v>
      </c>
      <c r="E41" s="39">
        <f t="shared" si="13"/>
        <v>-180</v>
      </c>
      <c r="F41" s="39">
        <f t="shared" si="14"/>
        <v>1340</v>
      </c>
      <c r="G41" s="39">
        <f t="shared" si="15"/>
        <v>1250</v>
      </c>
      <c r="H41" s="39"/>
      <c r="I41" s="39"/>
      <c r="J41" s="39"/>
      <c r="K41" s="39" t="str">
        <f t="shared" si="16"/>
        <v/>
      </c>
      <c r="L41" s="39">
        <f t="shared" si="17"/>
        <v>90</v>
      </c>
      <c r="M41" s="39">
        <f t="shared" si="18"/>
        <v>1002.5</v>
      </c>
      <c r="N41" s="8"/>
      <c r="O41" s="40">
        <f t="shared" si="2"/>
        <v>-0.4430555556</v>
      </c>
      <c r="P41" s="9"/>
      <c r="Q41" s="9"/>
      <c r="R41" s="9"/>
      <c r="S41" s="10"/>
      <c r="T41" s="9"/>
      <c r="U41" s="9"/>
      <c r="V41" s="9"/>
      <c r="W41" s="9"/>
      <c r="X41" s="11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>
      <c r="A42" s="17" t="s">
        <v>38</v>
      </c>
      <c r="B42" s="38">
        <v>1200.0</v>
      </c>
      <c r="C42" s="39">
        <f t="shared" si="19"/>
        <v>-190</v>
      </c>
      <c r="D42" s="39">
        <f t="shared" si="12"/>
        <v>-60</v>
      </c>
      <c r="E42" s="39">
        <f t="shared" si="13"/>
        <v>-120</v>
      </c>
      <c r="F42" s="39">
        <f t="shared" si="14"/>
        <v>830</v>
      </c>
      <c r="G42" s="39">
        <f t="shared" si="15"/>
        <v>1250</v>
      </c>
      <c r="H42" s="39"/>
      <c r="I42" s="39"/>
      <c r="J42" s="39"/>
      <c r="K42" s="39">
        <f t="shared" si="16"/>
        <v>420</v>
      </c>
      <c r="L42" s="39" t="str">
        <f t="shared" si="17"/>
        <v/>
      </c>
      <c r="M42" s="39">
        <f t="shared" si="18"/>
        <v>912.5</v>
      </c>
      <c r="N42" s="8"/>
      <c r="O42" s="40">
        <f t="shared" si="2"/>
        <v>-0.2395833333</v>
      </c>
      <c r="P42" s="9"/>
      <c r="Q42" s="9"/>
      <c r="R42" s="9"/>
      <c r="S42" s="10"/>
      <c r="T42" s="9"/>
      <c r="U42" s="9"/>
      <c r="V42" s="9"/>
      <c r="W42" s="9"/>
      <c r="X42" s="11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>
      <c r="A43" s="17" t="s">
        <v>39</v>
      </c>
      <c r="B43" s="38">
        <v>1500.0</v>
      </c>
      <c r="C43" s="39">
        <f t="shared" si="19"/>
        <v>-190</v>
      </c>
      <c r="D43" s="39">
        <f t="shared" si="12"/>
        <v>-75</v>
      </c>
      <c r="E43" s="39">
        <f t="shared" si="13"/>
        <v>-150</v>
      </c>
      <c r="F43" s="39">
        <f t="shared" si="14"/>
        <v>1085</v>
      </c>
      <c r="G43" s="39">
        <f t="shared" si="15"/>
        <v>1250</v>
      </c>
      <c r="H43" s="41"/>
      <c r="I43" s="41"/>
      <c r="J43" s="41"/>
      <c r="K43" s="39">
        <f t="shared" si="16"/>
        <v>165</v>
      </c>
      <c r="L43" s="39" t="str">
        <f t="shared" si="17"/>
        <v/>
      </c>
      <c r="M43" s="39">
        <f t="shared" si="18"/>
        <v>912.5</v>
      </c>
      <c r="N43" s="42"/>
      <c r="O43" s="40">
        <f t="shared" si="2"/>
        <v>-0.3916666667</v>
      </c>
      <c r="P43" s="8"/>
      <c r="Q43" s="8"/>
      <c r="R43" s="8"/>
      <c r="S43" s="8"/>
      <c r="T43" s="8"/>
      <c r="U43" s="8"/>
      <c r="V43" s="43"/>
      <c r="W43" s="43"/>
      <c r="X43" s="43"/>
      <c r="Y43" s="43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>
      <c r="A44" s="17" t="s">
        <v>40</v>
      </c>
      <c r="B44" s="38">
        <v>5000.0</v>
      </c>
      <c r="C44" s="39">
        <f t="shared" si="19"/>
        <v>-190</v>
      </c>
      <c r="D44" s="39">
        <f t="shared" si="12"/>
        <v>-250</v>
      </c>
      <c r="E44" s="39">
        <f t="shared" si="13"/>
        <v>-500</v>
      </c>
      <c r="F44" s="39">
        <f t="shared" si="14"/>
        <v>4060</v>
      </c>
      <c r="G44" s="39">
        <f t="shared" si="15"/>
        <v>1250</v>
      </c>
      <c r="H44" s="44"/>
      <c r="I44" s="44"/>
      <c r="J44" s="44"/>
      <c r="K44" s="39" t="str">
        <f t="shared" si="16"/>
        <v/>
      </c>
      <c r="L44" s="39">
        <f t="shared" si="17"/>
        <v>2810</v>
      </c>
      <c r="M44" s="39">
        <f t="shared" si="18"/>
        <v>3722.5</v>
      </c>
      <c r="N44" s="45"/>
      <c r="O44" s="40">
        <f t="shared" si="2"/>
        <v>-0.2555</v>
      </c>
      <c r="P44" s="8"/>
      <c r="Q44" s="8"/>
      <c r="R44" s="8"/>
      <c r="S44" s="8"/>
      <c r="T44" s="8"/>
      <c r="U44" s="8"/>
      <c r="V44" s="46"/>
      <c r="W44" s="46"/>
      <c r="X44" s="46"/>
      <c r="Y44" s="46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>
      <c r="A45" s="17" t="s">
        <v>41</v>
      </c>
      <c r="B45" s="38">
        <v>500.0</v>
      </c>
      <c r="C45" s="39">
        <f t="shared" si="19"/>
        <v>-190</v>
      </c>
      <c r="D45" s="39">
        <f t="shared" si="12"/>
        <v>-25</v>
      </c>
      <c r="E45" s="39">
        <f t="shared" si="13"/>
        <v>-50</v>
      </c>
      <c r="F45" s="39">
        <f t="shared" si="14"/>
        <v>235</v>
      </c>
      <c r="G45" s="39">
        <f t="shared" si="15"/>
        <v>1250</v>
      </c>
      <c r="H45" s="44"/>
      <c r="I45" s="44"/>
      <c r="J45" s="44"/>
      <c r="K45" s="39">
        <f t="shared" si="16"/>
        <v>1015</v>
      </c>
      <c r="L45" s="39" t="str">
        <f t="shared" si="17"/>
        <v/>
      </c>
      <c r="M45" s="39">
        <f t="shared" si="18"/>
        <v>912.5</v>
      </c>
      <c r="N45" s="45"/>
      <c r="O45" s="40">
        <f t="shared" si="2"/>
        <v>0.825</v>
      </c>
      <c r="P45" s="8"/>
      <c r="Q45" s="8"/>
      <c r="R45" s="8"/>
      <c r="S45" s="8"/>
      <c r="T45" s="8"/>
      <c r="U45" s="8"/>
      <c r="V45" s="43"/>
      <c r="W45" s="43"/>
      <c r="X45" s="43"/>
      <c r="Y45" s="43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>
      <c r="A46" s="17" t="s">
        <v>42</v>
      </c>
      <c r="B46" s="38">
        <v>1500.0</v>
      </c>
      <c r="C46" s="39">
        <f t="shared" si="19"/>
        <v>-190</v>
      </c>
      <c r="D46" s="39">
        <f t="shared" si="12"/>
        <v>-75</v>
      </c>
      <c r="E46" s="39">
        <f t="shared" si="13"/>
        <v>-150</v>
      </c>
      <c r="F46" s="39">
        <f t="shared" si="14"/>
        <v>1085</v>
      </c>
      <c r="G46" s="39">
        <f t="shared" si="15"/>
        <v>1250</v>
      </c>
      <c r="H46" s="44"/>
      <c r="I46" s="44"/>
      <c r="J46" s="44"/>
      <c r="K46" s="39">
        <f t="shared" si="16"/>
        <v>165</v>
      </c>
      <c r="L46" s="39" t="str">
        <f t="shared" si="17"/>
        <v/>
      </c>
      <c r="M46" s="39">
        <f t="shared" si="18"/>
        <v>912.5</v>
      </c>
      <c r="N46" s="45"/>
      <c r="O46" s="40">
        <f t="shared" si="2"/>
        <v>-0.3916666667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>
      <c r="A47" s="17" t="s">
        <v>43</v>
      </c>
      <c r="B47" s="38">
        <v>1500.0</v>
      </c>
      <c r="C47" s="39">
        <f t="shared" si="19"/>
        <v>-190</v>
      </c>
      <c r="D47" s="39">
        <f t="shared" si="12"/>
        <v>-75</v>
      </c>
      <c r="E47" s="39">
        <f t="shared" si="13"/>
        <v>-150</v>
      </c>
      <c r="F47" s="39">
        <f t="shared" si="14"/>
        <v>1085</v>
      </c>
      <c r="G47" s="39">
        <f t="shared" si="15"/>
        <v>1250</v>
      </c>
      <c r="H47" s="44"/>
      <c r="I47" s="44"/>
      <c r="J47" s="44"/>
      <c r="K47" s="39">
        <f t="shared" si="16"/>
        <v>165</v>
      </c>
      <c r="L47" s="39" t="str">
        <f t="shared" si="17"/>
        <v/>
      </c>
      <c r="M47" s="39">
        <f t="shared" si="18"/>
        <v>912.5</v>
      </c>
      <c r="N47" s="45"/>
      <c r="O47" s="40">
        <f t="shared" si="2"/>
        <v>-0.3916666667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>
      <c r="A48" s="17" t="s">
        <v>44</v>
      </c>
      <c r="B48" s="38">
        <v>1500.0</v>
      </c>
      <c r="C48" s="39">
        <f t="shared" si="19"/>
        <v>-190</v>
      </c>
      <c r="D48" s="39">
        <f t="shared" si="12"/>
        <v>-75</v>
      </c>
      <c r="E48" s="39">
        <f t="shared" si="13"/>
        <v>-150</v>
      </c>
      <c r="F48" s="39">
        <f t="shared" si="14"/>
        <v>1085</v>
      </c>
      <c r="G48" s="39">
        <f t="shared" si="15"/>
        <v>1250</v>
      </c>
      <c r="H48" s="44"/>
      <c r="I48" s="44"/>
      <c r="J48" s="44"/>
      <c r="K48" s="39">
        <f t="shared" si="16"/>
        <v>165</v>
      </c>
      <c r="L48" s="39" t="str">
        <f t="shared" si="17"/>
        <v/>
      </c>
      <c r="M48" s="39">
        <f t="shared" si="18"/>
        <v>912.5</v>
      </c>
      <c r="N48" s="45"/>
      <c r="O48" s="40">
        <f t="shared" si="2"/>
        <v>-0.3916666667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>
      <c r="A49" s="17" t="s">
        <v>45</v>
      </c>
      <c r="B49" s="38">
        <v>1500.0</v>
      </c>
      <c r="C49" s="39">
        <f t="shared" si="19"/>
        <v>-190</v>
      </c>
      <c r="D49" s="39">
        <f t="shared" si="12"/>
        <v>-75</v>
      </c>
      <c r="E49" s="39">
        <f t="shared" si="13"/>
        <v>-150</v>
      </c>
      <c r="F49" s="39">
        <f t="shared" si="14"/>
        <v>1085</v>
      </c>
      <c r="G49" s="39">
        <f t="shared" si="15"/>
        <v>1250</v>
      </c>
      <c r="H49" s="44"/>
      <c r="I49" s="44"/>
      <c r="J49" s="44"/>
      <c r="K49" s="39">
        <f t="shared" si="16"/>
        <v>165</v>
      </c>
      <c r="L49" s="39" t="str">
        <f t="shared" si="17"/>
        <v/>
      </c>
      <c r="M49" s="39">
        <f t="shared" si="18"/>
        <v>912.5</v>
      </c>
      <c r="N49" s="45"/>
      <c r="O49" s="40">
        <f t="shared" si="2"/>
        <v>-0.3916666667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>
      <c r="A50" s="17" t="s">
        <v>46</v>
      </c>
      <c r="B50" s="38">
        <v>1500.0</v>
      </c>
      <c r="C50" s="39">
        <f t="shared" si="19"/>
        <v>-190</v>
      </c>
      <c r="D50" s="39">
        <f t="shared" si="12"/>
        <v>-75</v>
      </c>
      <c r="E50" s="39">
        <f t="shared" si="13"/>
        <v>-150</v>
      </c>
      <c r="F50" s="39">
        <f t="shared" si="14"/>
        <v>1085</v>
      </c>
      <c r="G50" s="39">
        <f t="shared" si="15"/>
        <v>1250</v>
      </c>
      <c r="H50" s="44"/>
      <c r="I50" s="44"/>
      <c r="J50" s="44"/>
      <c r="K50" s="39">
        <f t="shared" si="16"/>
        <v>165</v>
      </c>
      <c r="L50" s="39" t="str">
        <f t="shared" si="17"/>
        <v/>
      </c>
      <c r="M50" s="39">
        <f t="shared" si="18"/>
        <v>912.5</v>
      </c>
      <c r="N50" s="45"/>
      <c r="O50" s="40">
        <f t="shared" si="2"/>
        <v>-0.3916666667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>
      <c r="A51" s="17" t="s">
        <v>47</v>
      </c>
      <c r="B51" s="38">
        <v>1500.0</v>
      </c>
      <c r="C51" s="39">
        <f t="shared" si="19"/>
        <v>-190</v>
      </c>
      <c r="D51" s="39">
        <f t="shared" si="12"/>
        <v>-75</v>
      </c>
      <c r="E51" s="39">
        <f t="shared" si="13"/>
        <v>-150</v>
      </c>
      <c r="F51" s="39">
        <f t="shared" si="14"/>
        <v>1085</v>
      </c>
      <c r="G51" s="39">
        <f t="shared" si="15"/>
        <v>1250</v>
      </c>
      <c r="H51" s="44"/>
      <c r="I51" s="44"/>
      <c r="J51" s="44"/>
      <c r="K51" s="39">
        <f t="shared" si="16"/>
        <v>165</v>
      </c>
      <c r="L51" s="39" t="str">
        <f t="shared" si="17"/>
        <v/>
      </c>
      <c r="M51" s="39">
        <f t="shared" si="18"/>
        <v>912.5</v>
      </c>
      <c r="N51" s="45"/>
      <c r="O51" s="40">
        <f t="shared" si="2"/>
        <v>-0.3916666667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ht="16.5" customHeight="1">
      <c r="A52" s="12" t="s">
        <v>49</v>
      </c>
      <c r="B52" s="32">
        <f>SUM(B53:B64)</f>
        <v>20512</v>
      </c>
      <c r="C52" s="33">
        <f>C39</f>
        <v>10</v>
      </c>
      <c r="D52" s="32"/>
      <c r="E52" s="32"/>
      <c r="F52" s="32">
        <f>SUM(F53:F64)</f>
        <v>15155.2</v>
      </c>
      <c r="G52" s="36">
        <v>14000.0</v>
      </c>
      <c r="H52" s="32">
        <f>G52</f>
        <v>14000</v>
      </c>
      <c r="I52" s="32">
        <f>H52*(1-($B$19+$B$20))</f>
        <v>10220</v>
      </c>
      <c r="J52" s="32">
        <f>I52/12</f>
        <v>851.6666667</v>
      </c>
      <c r="K52" s="32">
        <f t="shared" ref="K52:M52" si="20">sum(K53:K64)</f>
        <v>1911.466667</v>
      </c>
      <c r="L52" s="32">
        <f t="shared" si="20"/>
        <v>3066.666667</v>
      </c>
      <c r="M52" s="32">
        <f t="shared" si="20"/>
        <v>14016.66667</v>
      </c>
      <c r="N52" s="8"/>
      <c r="O52" s="37">
        <f t="shared" si="2"/>
        <v>-0.3166601664</v>
      </c>
      <c r="P52" s="9"/>
      <c r="Q52" s="9"/>
      <c r="R52" s="9"/>
      <c r="S52" s="10"/>
      <c r="T52" s="9"/>
      <c r="U52" s="9"/>
      <c r="V52" s="9"/>
      <c r="W52" s="9"/>
      <c r="X52" s="11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ht="16.5" customHeight="1">
      <c r="A53" s="17" t="s">
        <v>36</v>
      </c>
      <c r="B53" s="38">
        <v>1512.0</v>
      </c>
      <c r="C53" s="39">
        <f t="shared" ref="C53:C64" si="21">-C$24*C$52</f>
        <v>-190</v>
      </c>
      <c r="D53" s="39">
        <f t="shared" ref="D53:D64" si="22">ifs(D$26="Advanced Support", B53*-0.05,D$26="Premium Support", B53*-0.04, 1=1, "")</f>
        <v>-75.6</v>
      </c>
      <c r="E53" s="39">
        <f t="shared" ref="E53:E64" si="23">-E$26*B53</f>
        <v>-151.2</v>
      </c>
      <c r="F53" s="39">
        <f t="shared" ref="F53:F64" si="24">B53+C53+D53+E53</f>
        <v>1095.2</v>
      </c>
      <c r="G53" s="39">
        <f t="shared" ref="G53:G64" si="25">G$52/12</f>
        <v>1166.666667</v>
      </c>
      <c r="H53" s="39"/>
      <c r="I53" s="39"/>
      <c r="J53" s="39"/>
      <c r="K53" s="39">
        <f t="shared" ref="K53:K64" si="26">if(G53-F53&gt;0,G53-F53,"")</f>
        <v>71.46666667</v>
      </c>
      <c r="L53" s="39" t="str">
        <f t="shared" ref="L53:L64" si="27">if(F53-G53&gt;0,F53-G53,"")</f>
        <v/>
      </c>
      <c r="M53" s="39">
        <f t="shared" ref="M53:M64" si="28">($I$39/12)+L53</f>
        <v>912.5</v>
      </c>
      <c r="N53" s="8"/>
      <c r="O53" s="40">
        <f t="shared" si="2"/>
        <v>-0.396494709</v>
      </c>
      <c r="P53" s="9"/>
      <c r="Q53" s="9"/>
      <c r="R53" s="9"/>
      <c r="S53" s="10"/>
      <c r="T53" s="9"/>
      <c r="U53" s="9"/>
      <c r="V53" s="9"/>
      <c r="W53" s="9"/>
      <c r="X53" s="11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ht="16.5" customHeight="1">
      <c r="A54" s="17" t="s">
        <v>37</v>
      </c>
      <c r="B54" s="38">
        <v>1800.0</v>
      </c>
      <c r="C54" s="39">
        <f t="shared" si="21"/>
        <v>-190</v>
      </c>
      <c r="D54" s="39">
        <f t="shared" si="22"/>
        <v>-90</v>
      </c>
      <c r="E54" s="39">
        <f t="shared" si="23"/>
        <v>-180</v>
      </c>
      <c r="F54" s="39">
        <f t="shared" si="24"/>
        <v>1340</v>
      </c>
      <c r="G54" s="39">
        <f t="shared" si="25"/>
        <v>1166.666667</v>
      </c>
      <c r="H54" s="39"/>
      <c r="I54" s="39"/>
      <c r="J54" s="39"/>
      <c r="K54" s="39" t="str">
        <f t="shared" si="26"/>
        <v/>
      </c>
      <c r="L54" s="39">
        <f t="shared" si="27"/>
        <v>173.3333333</v>
      </c>
      <c r="M54" s="39">
        <f t="shared" si="28"/>
        <v>1085.833333</v>
      </c>
      <c r="N54" s="8"/>
      <c r="O54" s="40">
        <f t="shared" si="2"/>
        <v>-0.3967592593</v>
      </c>
      <c r="P54" s="9"/>
      <c r="Q54" s="9"/>
      <c r="R54" s="9"/>
      <c r="S54" s="10"/>
      <c r="T54" s="9"/>
      <c r="U54" s="9"/>
      <c r="V54" s="9"/>
      <c r="W54" s="9"/>
      <c r="X54" s="11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>
      <c r="A55" s="17" t="s">
        <v>38</v>
      </c>
      <c r="B55" s="38">
        <v>1200.0</v>
      </c>
      <c r="C55" s="39">
        <f t="shared" si="21"/>
        <v>-190</v>
      </c>
      <c r="D55" s="39">
        <f t="shared" si="22"/>
        <v>-60</v>
      </c>
      <c r="E55" s="39">
        <f t="shared" si="23"/>
        <v>-120</v>
      </c>
      <c r="F55" s="39">
        <f t="shared" si="24"/>
        <v>830</v>
      </c>
      <c r="G55" s="39">
        <f t="shared" si="25"/>
        <v>1166.666667</v>
      </c>
      <c r="H55" s="39"/>
      <c r="I55" s="39"/>
      <c r="J55" s="39"/>
      <c r="K55" s="39">
        <f t="shared" si="26"/>
        <v>336.6666667</v>
      </c>
      <c r="L55" s="39" t="str">
        <f t="shared" si="27"/>
        <v/>
      </c>
      <c r="M55" s="39">
        <f t="shared" si="28"/>
        <v>912.5</v>
      </c>
      <c r="N55" s="8"/>
      <c r="O55" s="40">
        <f t="shared" si="2"/>
        <v>-0.2395833333</v>
      </c>
      <c r="P55" s="9"/>
      <c r="Q55" s="9"/>
      <c r="R55" s="9"/>
      <c r="S55" s="10"/>
      <c r="T55" s="9"/>
      <c r="U55" s="9"/>
      <c r="V55" s="9"/>
      <c r="W55" s="9"/>
      <c r="X55" s="11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>
      <c r="A56" s="17" t="s">
        <v>39</v>
      </c>
      <c r="B56" s="38">
        <v>1500.0</v>
      </c>
      <c r="C56" s="39">
        <f t="shared" si="21"/>
        <v>-190</v>
      </c>
      <c r="D56" s="39">
        <f t="shared" si="22"/>
        <v>-75</v>
      </c>
      <c r="E56" s="39">
        <f t="shared" si="23"/>
        <v>-150</v>
      </c>
      <c r="F56" s="39">
        <f t="shared" si="24"/>
        <v>1085</v>
      </c>
      <c r="G56" s="39">
        <f t="shared" si="25"/>
        <v>1166.666667</v>
      </c>
      <c r="H56" s="41"/>
      <c r="I56" s="41"/>
      <c r="J56" s="41"/>
      <c r="K56" s="39">
        <f t="shared" si="26"/>
        <v>81.66666667</v>
      </c>
      <c r="L56" s="39" t="str">
        <f t="shared" si="27"/>
        <v/>
      </c>
      <c r="M56" s="39">
        <f t="shared" si="28"/>
        <v>912.5</v>
      </c>
      <c r="N56" s="42"/>
      <c r="O56" s="40">
        <f t="shared" si="2"/>
        <v>-0.3916666667</v>
      </c>
      <c r="P56" s="8"/>
      <c r="Q56" s="8"/>
      <c r="R56" s="8"/>
      <c r="S56" s="8"/>
      <c r="T56" s="8"/>
      <c r="U56" s="8"/>
      <c r="V56" s="43"/>
      <c r="W56" s="43"/>
      <c r="X56" s="43"/>
      <c r="Y56" s="43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>
      <c r="A57" s="17" t="s">
        <v>40</v>
      </c>
      <c r="B57" s="38">
        <v>5000.0</v>
      </c>
      <c r="C57" s="39">
        <f t="shared" si="21"/>
        <v>-190</v>
      </c>
      <c r="D57" s="39">
        <f t="shared" si="22"/>
        <v>-250</v>
      </c>
      <c r="E57" s="39">
        <f t="shared" si="23"/>
        <v>-500</v>
      </c>
      <c r="F57" s="39">
        <f t="shared" si="24"/>
        <v>4060</v>
      </c>
      <c r="G57" s="39">
        <f t="shared" si="25"/>
        <v>1166.666667</v>
      </c>
      <c r="H57" s="44"/>
      <c r="I57" s="44"/>
      <c r="J57" s="44"/>
      <c r="K57" s="39" t="str">
        <f t="shared" si="26"/>
        <v/>
      </c>
      <c r="L57" s="39">
        <f t="shared" si="27"/>
        <v>2893.333333</v>
      </c>
      <c r="M57" s="39">
        <f t="shared" si="28"/>
        <v>3805.833333</v>
      </c>
      <c r="N57" s="45"/>
      <c r="O57" s="40">
        <f t="shared" si="2"/>
        <v>-0.2388333333</v>
      </c>
      <c r="P57" s="8"/>
      <c r="Q57" s="8"/>
      <c r="R57" s="8"/>
      <c r="S57" s="8"/>
      <c r="T57" s="8"/>
      <c r="U57" s="8"/>
      <c r="V57" s="46"/>
      <c r="W57" s="46"/>
      <c r="X57" s="46"/>
      <c r="Y57" s="46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>
      <c r="A58" s="17" t="s">
        <v>41</v>
      </c>
      <c r="B58" s="38">
        <v>500.0</v>
      </c>
      <c r="C58" s="39">
        <f t="shared" si="21"/>
        <v>-190</v>
      </c>
      <c r="D58" s="39">
        <f t="shared" si="22"/>
        <v>-25</v>
      </c>
      <c r="E58" s="39">
        <f t="shared" si="23"/>
        <v>-50</v>
      </c>
      <c r="F58" s="39">
        <f t="shared" si="24"/>
        <v>235</v>
      </c>
      <c r="G58" s="39">
        <f t="shared" si="25"/>
        <v>1166.666667</v>
      </c>
      <c r="H58" s="44"/>
      <c r="I58" s="44"/>
      <c r="J58" s="44"/>
      <c r="K58" s="39">
        <f t="shared" si="26"/>
        <v>931.6666667</v>
      </c>
      <c r="L58" s="39" t="str">
        <f t="shared" si="27"/>
        <v/>
      </c>
      <c r="M58" s="39">
        <f t="shared" si="28"/>
        <v>912.5</v>
      </c>
      <c r="N58" s="45"/>
      <c r="O58" s="40">
        <f t="shared" si="2"/>
        <v>0.825</v>
      </c>
      <c r="P58" s="8"/>
      <c r="Q58" s="8"/>
      <c r="R58" s="8"/>
      <c r="S58" s="8"/>
      <c r="T58" s="8"/>
      <c r="U58" s="8"/>
      <c r="V58" s="43"/>
      <c r="W58" s="43"/>
      <c r="X58" s="43"/>
      <c r="Y58" s="43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>
      <c r="A59" s="17" t="s">
        <v>42</v>
      </c>
      <c r="B59" s="38">
        <v>1500.0</v>
      </c>
      <c r="C59" s="39">
        <f t="shared" si="21"/>
        <v>-190</v>
      </c>
      <c r="D59" s="39">
        <f t="shared" si="22"/>
        <v>-75</v>
      </c>
      <c r="E59" s="39">
        <f t="shared" si="23"/>
        <v>-150</v>
      </c>
      <c r="F59" s="39">
        <f t="shared" si="24"/>
        <v>1085</v>
      </c>
      <c r="G59" s="39">
        <f t="shared" si="25"/>
        <v>1166.666667</v>
      </c>
      <c r="H59" s="44"/>
      <c r="I59" s="44"/>
      <c r="J59" s="44"/>
      <c r="K59" s="39">
        <f t="shared" si="26"/>
        <v>81.66666667</v>
      </c>
      <c r="L59" s="39" t="str">
        <f t="shared" si="27"/>
        <v/>
      </c>
      <c r="M59" s="39">
        <f t="shared" si="28"/>
        <v>912.5</v>
      </c>
      <c r="N59" s="45"/>
      <c r="O59" s="40">
        <f t="shared" si="2"/>
        <v>-0.3916666667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>
      <c r="A60" s="17" t="s">
        <v>43</v>
      </c>
      <c r="B60" s="38">
        <v>1500.0</v>
      </c>
      <c r="C60" s="39">
        <f t="shared" si="21"/>
        <v>-190</v>
      </c>
      <c r="D60" s="39">
        <f t="shared" si="22"/>
        <v>-75</v>
      </c>
      <c r="E60" s="39">
        <f t="shared" si="23"/>
        <v>-150</v>
      </c>
      <c r="F60" s="39">
        <f t="shared" si="24"/>
        <v>1085</v>
      </c>
      <c r="G60" s="39">
        <f t="shared" si="25"/>
        <v>1166.666667</v>
      </c>
      <c r="H60" s="44"/>
      <c r="I60" s="44"/>
      <c r="J60" s="44"/>
      <c r="K60" s="39">
        <f t="shared" si="26"/>
        <v>81.66666667</v>
      </c>
      <c r="L60" s="39" t="str">
        <f t="shared" si="27"/>
        <v/>
      </c>
      <c r="M60" s="39">
        <f t="shared" si="28"/>
        <v>912.5</v>
      </c>
      <c r="N60" s="45"/>
      <c r="O60" s="40">
        <f t="shared" si="2"/>
        <v>-0.3916666667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>
      <c r="A61" s="17" t="s">
        <v>44</v>
      </c>
      <c r="B61" s="38">
        <v>1500.0</v>
      </c>
      <c r="C61" s="39">
        <f t="shared" si="21"/>
        <v>-190</v>
      </c>
      <c r="D61" s="39">
        <f t="shared" si="22"/>
        <v>-75</v>
      </c>
      <c r="E61" s="39">
        <f t="shared" si="23"/>
        <v>-150</v>
      </c>
      <c r="F61" s="39">
        <f t="shared" si="24"/>
        <v>1085</v>
      </c>
      <c r="G61" s="39">
        <f t="shared" si="25"/>
        <v>1166.666667</v>
      </c>
      <c r="H61" s="44"/>
      <c r="I61" s="44"/>
      <c r="J61" s="44"/>
      <c r="K61" s="39">
        <f t="shared" si="26"/>
        <v>81.66666667</v>
      </c>
      <c r="L61" s="39" t="str">
        <f t="shared" si="27"/>
        <v/>
      </c>
      <c r="M61" s="39">
        <f t="shared" si="28"/>
        <v>912.5</v>
      </c>
      <c r="N61" s="45"/>
      <c r="O61" s="40">
        <f t="shared" si="2"/>
        <v>-0.3916666667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>
      <c r="A62" s="17" t="s">
        <v>45</v>
      </c>
      <c r="B62" s="38">
        <v>1500.0</v>
      </c>
      <c r="C62" s="39">
        <f t="shared" si="21"/>
        <v>-190</v>
      </c>
      <c r="D62" s="39">
        <f t="shared" si="22"/>
        <v>-75</v>
      </c>
      <c r="E62" s="39">
        <f t="shared" si="23"/>
        <v>-150</v>
      </c>
      <c r="F62" s="39">
        <f t="shared" si="24"/>
        <v>1085</v>
      </c>
      <c r="G62" s="39">
        <f t="shared" si="25"/>
        <v>1166.666667</v>
      </c>
      <c r="H62" s="44"/>
      <c r="I62" s="44"/>
      <c r="J62" s="44"/>
      <c r="K62" s="39">
        <f t="shared" si="26"/>
        <v>81.66666667</v>
      </c>
      <c r="L62" s="39" t="str">
        <f t="shared" si="27"/>
        <v/>
      </c>
      <c r="M62" s="39">
        <f t="shared" si="28"/>
        <v>912.5</v>
      </c>
      <c r="N62" s="45"/>
      <c r="O62" s="40">
        <f t="shared" si="2"/>
        <v>-0.3916666667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>
      <c r="A63" s="17" t="s">
        <v>46</v>
      </c>
      <c r="B63" s="38">
        <v>1500.0</v>
      </c>
      <c r="C63" s="39">
        <f t="shared" si="21"/>
        <v>-190</v>
      </c>
      <c r="D63" s="39">
        <f t="shared" si="22"/>
        <v>-75</v>
      </c>
      <c r="E63" s="39">
        <f t="shared" si="23"/>
        <v>-150</v>
      </c>
      <c r="F63" s="39">
        <f t="shared" si="24"/>
        <v>1085</v>
      </c>
      <c r="G63" s="39">
        <f t="shared" si="25"/>
        <v>1166.666667</v>
      </c>
      <c r="H63" s="44"/>
      <c r="I63" s="44"/>
      <c r="J63" s="44"/>
      <c r="K63" s="39">
        <f t="shared" si="26"/>
        <v>81.66666667</v>
      </c>
      <c r="L63" s="39" t="str">
        <f t="shared" si="27"/>
        <v/>
      </c>
      <c r="M63" s="39">
        <f t="shared" si="28"/>
        <v>912.5</v>
      </c>
      <c r="N63" s="45"/>
      <c r="O63" s="40">
        <f t="shared" si="2"/>
        <v>-0.3916666667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>
      <c r="A64" s="17" t="s">
        <v>47</v>
      </c>
      <c r="B64" s="38">
        <v>1500.0</v>
      </c>
      <c r="C64" s="39">
        <f t="shared" si="21"/>
        <v>-190</v>
      </c>
      <c r="D64" s="39">
        <f t="shared" si="22"/>
        <v>-75</v>
      </c>
      <c r="E64" s="39">
        <f t="shared" si="23"/>
        <v>-150</v>
      </c>
      <c r="F64" s="39">
        <f t="shared" si="24"/>
        <v>1085</v>
      </c>
      <c r="G64" s="39">
        <f t="shared" si="25"/>
        <v>1166.666667</v>
      </c>
      <c r="H64" s="44"/>
      <c r="I64" s="44"/>
      <c r="J64" s="44"/>
      <c r="K64" s="39">
        <f t="shared" si="26"/>
        <v>81.66666667</v>
      </c>
      <c r="L64" s="39" t="str">
        <f t="shared" si="27"/>
        <v/>
      </c>
      <c r="M64" s="39">
        <f t="shared" si="28"/>
        <v>912.5</v>
      </c>
      <c r="N64" s="45"/>
      <c r="O64" s="40">
        <f t="shared" si="2"/>
        <v>-0.3916666667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>
      <c r="A65" s="4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>
      <c r="A66" s="4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>
      <c r="A67" s="4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>
      <c r="A68" s="4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>
      <c r="A69" s="4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>
      <c r="A70" s="4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>
      <c r="A71" s="4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>
      <c r="A72" s="4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>
      <c r="A73" s="4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>
      <c r="A74" s="4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>
      <c r="A75" s="4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>
      <c r="A76" s="4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>
      <c r="A77" s="4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>
      <c r="A78" s="4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>
      <c r="A79" s="4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>
      <c r="A80" s="4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>
      <c r="A81" s="4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>
      <c r="A82" s="4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>
      <c r="A83" s="4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>
      <c r="A84" s="4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>
      <c r="A85" s="4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>
      <c r="A86" s="4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>
      <c r="A87" s="4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>
      <c r="A88" s="4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>
      <c r="A89" s="4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>
      <c r="A90" s="4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>
      <c r="A91" s="4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>
      <c r="A92" s="4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>
      <c r="A93" s="4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>
      <c r="A94" s="4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>
      <c r="A95" s="4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>
      <c r="A96" s="4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>
      <c r="A97" s="4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>
      <c r="A98" s="4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>
      <c r="A99" s="4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>
      <c r="A100" s="4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>
      <c r="A101" s="4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>
      <c r="A102" s="4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>
      <c r="A103" s="4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>
      <c r="A104" s="4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>
      <c r="A105" s="4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>
      <c r="A106" s="4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>
      <c r="A107" s="4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>
      <c r="A108" s="4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>
      <c r="A109" s="4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>
      <c r="A110" s="4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>
      <c r="A111" s="4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>
      <c r="A112" s="4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>
      <c r="A113" s="4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>
      <c r="A114" s="4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>
      <c r="A115" s="4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>
      <c r="A116" s="4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>
      <c r="A117" s="4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>
      <c r="A118" s="4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>
      <c r="A119" s="4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>
      <c r="A120" s="4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>
      <c r="A121" s="4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>
      <c r="A122" s="4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>
      <c r="A123" s="4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>
      <c r="A124" s="4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>
      <c r="A125" s="4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>
      <c r="A126" s="4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>
      <c r="A127" s="4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>
      <c r="A128" s="4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>
      <c r="A129" s="4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>
      <c r="A130" s="4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>
      <c r="A131" s="4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>
      <c r="A132" s="4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>
      <c r="A133" s="4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>
      <c r="A134" s="4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>
      <c r="A135" s="4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>
      <c r="A136" s="4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>
      <c r="A137" s="4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>
      <c r="A138" s="4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>
      <c r="A139" s="4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>
      <c r="A140" s="4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>
      <c r="A141" s="4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>
      <c r="A142" s="4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>
      <c r="A143" s="4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>
      <c r="A144" s="4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>
      <c r="A145" s="4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>
      <c r="A146" s="4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>
      <c r="A147" s="4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>
      <c r="A148" s="4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>
      <c r="A149" s="4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>
      <c r="A150" s="4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>
      <c r="A151" s="4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>
      <c r="A152" s="4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>
      <c r="A153" s="4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>
      <c r="A154" s="4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>
      <c r="A155" s="4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>
      <c r="A156" s="4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>
      <c r="A157" s="4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>
      <c r="A158" s="4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>
      <c r="A159" s="4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>
      <c r="A160" s="4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>
      <c r="A161" s="4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>
      <c r="A162" s="4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>
      <c r="A163" s="4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>
      <c r="A164" s="4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>
      <c r="A165" s="4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>
      <c r="A166" s="4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>
      <c r="A167" s="4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>
      <c r="A168" s="4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>
      <c r="A169" s="4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>
      <c r="A170" s="4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>
      <c r="A171" s="4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>
      <c r="A172" s="4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>
      <c r="A173" s="4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>
      <c r="A174" s="4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>
      <c r="A175" s="4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>
      <c r="A176" s="4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>
      <c r="A177" s="4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>
      <c r="A178" s="4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>
      <c r="A179" s="4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>
      <c r="A180" s="4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>
      <c r="A181" s="4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>
      <c r="A182" s="4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>
      <c r="A183" s="4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>
      <c r="A184" s="4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>
      <c r="A185" s="4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>
      <c r="A186" s="4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>
      <c r="A187" s="4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>
      <c r="A188" s="4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>
      <c r="A189" s="4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>
      <c r="A190" s="4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>
      <c r="A191" s="4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>
      <c r="A192" s="4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>
      <c r="A193" s="4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>
      <c r="A194" s="4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>
      <c r="A195" s="4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>
      <c r="A196" s="4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>
      <c r="A197" s="4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>
      <c r="A198" s="4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>
      <c r="A199" s="4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>
      <c r="A200" s="4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>
      <c r="A201" s="4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>
      <c r="A202" s="4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>
      <c r="A203" s="4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>
      <c r="A204" s="4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>
      <c r="A205" s="4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>
      <c r="A206" s="4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>
      <c r="A207" s="4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>
      <c r="A208" s="4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>
      <c r="A209" s="4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>
      <c r="A210" s="4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>
      <c r="A211" s="4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>
      <c r="A212" s="4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>
      <c r="A213" s="4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>
      <c r="A214" s="4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>
      <c r="A215" s="4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>
      <c r="A216" s="4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>
      <c r="A217" s="4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>
      <c r="A218" s="4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>
      <c r="A219" s="4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>
      <c r="A220" s="4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>
      <c r="A221" s="4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>
      <c r="A222" s="4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>
      <c r="A223" s="4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>
      <c r="A224" s="4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>
      <c r="A225" s="4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>
      <c r="A226" s="4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>
      <c r="A227" s="4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>
      <c r="A228" s="4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>
      <c r="A229" s="4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>
      <c r="A230" s="4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>
      <c r="A231" s="4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>
      <c r="A232" s="4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>
      <c r="A233" s="4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>
      <c r="A234" s="4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>
      <c r="A235" s="4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>
      <c r="A236" s="4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>
      <c r="A237" s="4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>
      <c r="A238" s="4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>
      <c r="A239" s="4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>
      <c r="A240" s="4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>
      <c r="A241" s="4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>
      <c r="A242" s="4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>
      <c r="A243" s="4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>
      <c r="A244" s="4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>
      <c r="A245" s="4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>
      <c r="A246" s="4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>
      <c r="A247" s="4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>
      <c r="A248" s="4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>
      <c r="A249" s="4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>
      <c r="A250" s="4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>
      <c r="A251" s="4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>
      <c r="A252" s="4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>
      <c r="A253" s="4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>
      <c r="A254" s="4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>
      <c r="A255" s="4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>
      <c r="A256" s="4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>
      <c r="A257" s="4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>
      <c r="A258" s="4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>
      <c r="A259" s="4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>
      <c r="A260" s="4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>
      <c r="A261" s="4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>
      <c r="A262" s="4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>
      <c r="A263" s="4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>
      <c r="A264" s="4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>
      <c r="A265" s="4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>
      <c r="A266" s="4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>
      <c r="A267" s="4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>
      <c r="A268" s="4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>
      <c r="A269" s="4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>
      <c r="A270" s="4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>
      <c r="A271" s="4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>
      <c r="A272" s="4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>
      <c r="A273" s="4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>
      <c r="A274" s="4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>
      <c r="A275" s="4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>
      <c r="A276" s="4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>
      <c r="A277" s="4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>
      <c r="A278" s="4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>
      <c r="A279" s="4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>
      <c r="A280" s="4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>
      <c r="A281" s="4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>
      <c r="A282" s="4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>
      <c r="A283" s="4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>
      <c r="A284" s="4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>
      <c r="A285" s="4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>
      <c r="A286" s="4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>
      <c r="A287" s="4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>
      <c r="A288" s="4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>
      <c r="A289" s="4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>
      <c r="A290" s="4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>
      <c r="A291" s="4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>
      <c r="A292" s="4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>
      <c r="A293" s="4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>
      <c r="A294" s="4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>
      <c r="A295" s="4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>
      <c r="A296" s="4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>
      <c r="A297" s="4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>
      <c r="A298" s="4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>
      <c r="A299" s="4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>
      <c r="A300" s="4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>
      <c r="A301" s="4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>
      <c r="A302" s="4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>
      <c r="A303" s="4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>
      <c r="A304" s="4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>
      <c r="A305" s="4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>
      <c r="A306" s="4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>
      <c r="A307" s="4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>
      <c r="A308" s="4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>
      <c r="A309" s="4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>
      <c r="A310" s="4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>
      <c r="A311" s="4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>
      <c r="A312" s="4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>
      <c r="A313" s="4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>
      <c r="A314" s="4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>
      <c r="A315" s="4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>
      <c r="A316" s="4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>
      <c r="A317" s="4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>
      <c r="A318" s="4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>
      <c r="A319" s="4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>
      <c r="A320" s="4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>
      <c r="A321" s="4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>
      <c r="A322" s="4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>
      <c r="A323" s="4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>
      <c r="A324" s="4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>
      <c r="A325" s="4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>
      <c r="A326" s="4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>
      <c r="A327" s="4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>
      <c r="A328" s="4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>
      <c r="A329" s="4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>
      <c r="A330" s="4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>
      <c r="A331" s="4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>
      <c r="A332" s="4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>
      <c r="A333" s="4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>
      <c r="A334" s="4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>
      <c r="A335" s="4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>
      <c r="A336" s="4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>
      <c r="A337" s="4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>
      <c r="A338" s="4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>
      <c r="A339" s="4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>
      <c r="A340" s="4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>
      <c r="A341" s="4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>
      <c r="A342" s="4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>
      <c r="A343" s="4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>
      <c r="A344" s="4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>
      <c r="A345" s="4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>
      <c r="A346" s="4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>
      <c r="A347" s="4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>
      <c r="A348" s="4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>
      <c r="A349" s="4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>
      <c r="A350" s="4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>
      <c r="A351" s="4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>
      <c r="A352" s="4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>
      <c r="A353" s="4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>
      <c r="A354" s="4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>
      <c r="A355" s="4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>
      <c r="A356" s="4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>
      <c r="A357" s="4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>
      <c r="A358" s="4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>
      <c r="A359" s="4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>
      <c r="A360" s="4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>
      <c r="A361" s="4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>
      <c r="A362" s="4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>
      <c r="A363" s="4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>
      <c r="A364" s="4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>
      <c r="A365" s="4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>
      <c r="A366" s="4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>
      <c r="A367" s="4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>
      <c r="A368" s="4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>
      <c r="A369" s="4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>
      <c r="A370" s="4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>
      <c r="A371" s="4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>
      <c r="A372" s="4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>
      <c r="A373" s="4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>
      <c r="A374" s="4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>
      <c r="A375" s="4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>
      <c r="A376" s="4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>
      <c r="A377" s="4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>
      <c r="A378" s="4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>
      <c r="A379" s="4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>
      <c r="A380" s="4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>
      <c r="A381" s="4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>
      <c r="A382" s="4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>
      <c r="A383" s="4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>
      <c r="A384" s="4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>
      <c r="A385" s="4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>
      <c r="A386" s="4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>
      <c r="A387" s="4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>
      <c r="A388" s="4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>
      <c r="A389" s="4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>
      <c r="A390" s="4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>
      <c r="A391" s="4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>
      <c r="A392" s="4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>
      <c r="A393" s="4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>
      <c r="A394" s="4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>
      <c r="A395" s="4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>
      <c r="A396" s="4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>
      <c r="A397" s="4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>
      <c r="A398" s="4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>
      <c r="A399" s="4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>
      <c r="A400" s="4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>
      <c r="A401" s="4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>
      <c r="A402" s="4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>
      <c r="A403" s="4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>
      <c r="A404" s="4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>
      <c r="A405" s="4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>
      <c r="A406" s="4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>
      <c r="A407" s="4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>
      <c r="A408" s="4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>
      <c r="A409" s="4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>
      <c r="A410" s="4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>
      <c r="A411" s="4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>
      <c r="A412" s="4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>
      <c r="A413" s="4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>
      <c r="A414" s="4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>
      <c r="A415" s="4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>
      <c r="A416" s="4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>
      <c r="A417" s="4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>
      <c r="A418" s="4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>
      <c r="A419" s="4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>
      <c r="A420" s="4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>
      <c r="A421" s="4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>
      <c r="A422" s="4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>
      <c r="A423" s="4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>
      <c r="A424" s="4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>
      <c r="A425" s="4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>
      <c r="A426" s="4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>
      <c r="A427" s="4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>
      <c r="A428" s="4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>
      <c r="A429" s="4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>
      <c r="A430" s="4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>
      <c r="A431" s="4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>
      <c r="A432" s="4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>
      <c r="A433" s="4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>
      <c r="A434" s="4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>
      <c r="A435" s="4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>
      <c r="A436" s="4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>
      <c r="A437" s="4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>
      <c r="A438" s="4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>
      <c r="A439" s="4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>
      <c r="A440" s="4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>
      <c r="A441" s="4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>
      <c r="A442" s="4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>
      <c r="A443" s="4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>
      <c r="A444" s="4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>
      <c r="A445" s="4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>
      <c r="A446" s="4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>
      <c r="A447" s="4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>
      <c r="A448" s="4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>
      <c r="A449" s="4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>
      <c r="A450" s="4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>
      <c r="A451" s="4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>
      <c r="A452" s="4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>
      <c r="A453" s="4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>
      <c r="A454" s="4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>
      <c r="A455" s="4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>
      <c r="A456" s="4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>
      <c r="A457" s="4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>
      <c r="A458" s="4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>
      <c r="A459" s="4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>
      <c r="A460" s="4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>
      <c r="A461" s="4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>
      <c r="A462" s="4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>
      <c r="A463" s="4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>
      <c r="A464" s="4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>
      <c r="A465" s="4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>
      <c r="A466" s="4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>
      <c r="A467" s="4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>
      <c r="A468" s="4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>
      <c r="A469" s="4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>
      <c r="A470" s="4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>
      <c r="A471" s="4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>
      <c r="A472" s="4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>
      <c r="A473" s="4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>
      <c r="A474" s="4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>
      <c r="A475" s="4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>
      <c r="A476" s="4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>
      <c r="A477" s="4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>
      <c r="A478" s="4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>
      <c r="A479" s="4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>
      <c r="A480" s="4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>
      <c r="A481" s="4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>
      <c r="A482" s="4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>
      <c r="A483" s="4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>
      <c r="A484" s="4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>
      <c r="A485" s="4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>
      <c r="A486" s="4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>
      <c r="A487" s="4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>
      <c r="A488" s="4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>
      <c r="A489" s="4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>
      <c r="A490" s="4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>
      <c r="A491" s="4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>
      <c r="A492" s="4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>
      <c r="A493" s="4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>
      <c r="A494" s="4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>
      <c r="A495" s="4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>
      <c r="A496" s="4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>
      <c r="A497" s="4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>
      <c r="A498" s="4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>
      <c r="A499" s="4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>
      <c r="A500" s="4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>
      <c r="A501" s="4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>
      <c r="A502" s="4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>
      <c r="A503" s="4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>
      <c r="A504" s="4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>
      <c r="A505" s="4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>
      <c r="A506" s="4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>
      <c r="A507" s="4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>
      <c r="A508" s="4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>
      <c r="A509" s="4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>
      <c r="A510" s="4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>
      <c r="A511" s="4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>
      <c r="A512" s="4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>
      <c r="A513" s="4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>
      <c r="A514" s="4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>
      <c r="A515" s="4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>
      <c r="A516" s="4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>
      <c r="A517" s="4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>
      <c r="A518" s="4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>
      <c r="A519" s="4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>
      <c r="A520" s="4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>
      <c r="A521" s="4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>
      <c r="A522" s="4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>
      <c r="A523" s="4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>
      <c r="A524" s="4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>
      <c r="A525" s="4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>
      <c r="A526" s="4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>
      <c r="A527" s="4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>
      <c r="A528" s="4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>
      <c r="A529" s="4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>
      <c r="A530" s="4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>
      <c r="A531" s="4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>
      <c r="A532" s="4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>
      <c r="A533" s="4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>
      <c r="A534" s="4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>
      <c r="A535" s="4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>
      <c r="A536" s="4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>
      <c r="A537" s="4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>
      <c r="A538" s="4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>
      <c r="A539" s="4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>
      <c r="A540" s="4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>
      <c r="A541" s="4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>
      <c r="A542" s="4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>
      <c r="A543" s="4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>
      <c r="A544" s="4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>
      <c r="A545" s="4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>
      <c r="A546" s="4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>
      <c r="A547" s="4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>
      <c r="A548" s="4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>
      <c r="A549" s="4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>
      <c r="A550" s="4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>
      <c r="A551" s="4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>
      <c r="A552" s="4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>
      <c r="A553" s="4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>
      <c r="A554" s="4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>
      <c r="A555" s="4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>
      <c r="A556" s="4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>
      <c r="A557" s="4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>
      <c r="A558" s="4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>
      <c r="A559" s="4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>
      <c r="A560" s="4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>
      <c r="A561" s="4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>
      <c r="A562" s="4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>
      <c r="A563" s="4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>
      <c r="A564" s="4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>
      <c r="A565" s="4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>
      <c r="A566" s="4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>
      <c r="A567" s="4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>
      <c r="A568" s="4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>
      <c r="A569" s="4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>
      <c r="A570" s="4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>
      <c r="A571" s="4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>
      <c r="A572" s="4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>
      <c r="A573" s="4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>
      <c r="A574" s="4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>
      <c r="A575" s="4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>
      <c r="A576" s="4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>
      <c r="A577" s="4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>
      <c r="A578" s="4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>
      <c r="A579" s="4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>
      <c r="A580" s="4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>
      <c r="A581" s="4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>
      <c r="A582" s="4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>
      <c r="A583" s="4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>
      <c r="A584" s="4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>
      <c r="A585" s="4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>
      <c r="A586" s="4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>
      <c r="A587" s="4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>
      <c r="A588" s="4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>
      <c r="A589" s="4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>
      <c r="A590" s="4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>
      <c r="A591" s="4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>
      <c r="A592" s="4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>
      <c r="A593" s="4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>
      <c r="A594" s="4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>
      <c r="A595" s="4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>
      <c r="A596" s="4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>
      <c r="A597" s="4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>
      <c r="A598" s="4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>
      <c r="A599" s="4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>
      <c r="A600" s="4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>
      <c r="A601" s="4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>
      <c r="A602" s="4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>
      <c r="A603" s="4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>
      <c r="A604" s="4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>
      <c r="A605" s="4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>
      <c r="A606" s="4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>
      <c r="A607" s="4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>
      <c r="A608" s="4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>
      <c r="A609" s="4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>
      <c r="A610" s="4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>
      <c r="A611" s="4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>
      <c r="A612" s="4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>
      <c r="A613" s="4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>
      <c r="A614" s="4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>
      <c r="A615" s="4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>
      <c r="A616" s="4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>
      <c r="A617" s="4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>
      <c r="A618" s="4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>
      <c r="A619" s="4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>
      <c r="A620" s="4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>
      <c r="A621" s="4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>
      <c r="A622" s="4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>
      <c r="A623" s="4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>
      <c r="A624" s="4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>
      <c r="A625" s="4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>
      <c r="A626" s="4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>
      <c r="A627" s="4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>
      <c r="A628" s="4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>
      <c r="A629" s="4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>
      <c r="A630" s="4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>
      <c r="A631" s="4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>
      <c r="A632" s="4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>
      <c r="A633" s="4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>
      <c r="A634" s="4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>
      <c r="A635" s="4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>
      <c r="A636" s="4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>
      <c r="A637" s="4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>
      <c r="A638" s="4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>
      <c r="A639" s="4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>
      <c r="A640" s="4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>
      <c r="A641" s="4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>
      <c r="A642" s="4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>
      <c r="A643" s="4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>
      <c r="A644" s="4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>
      <c r="A645" s="4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>
      <c r="A646" s="4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>
      <c r="A647" s="4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>
      <c r="A648" s="4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>
      <c r="A649" s="4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>
      <c r="A650" s="4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>
      <c r="A651" s="4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>
      <c r="A652" s="4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>
      <c r="A653" s="4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>
      <c r="A654" s="4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>
      <c r="A655" s="4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>
      <c r="A656" s="4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>
      <c r="A657" s="4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>
      <c r="A658" s="4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>
      <c r="A659" s="4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>
      <c r="A660" s="4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>
      <c r="A661" s="4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>
      <c r="A662" s="4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>
      <c r="A663" s="4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>
      <c r="A664" s="4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>
      <c r="A665" s="4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>
      <c r="A666" s="4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>
      <c r="A667" s="4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>
      <c r="A668" s="4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>
      <c r="A669" s="4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>
      <c r="A670" s="4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>
      <c r="A671" s="4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>
      <c r="A672" s="4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>
      <c r="A673" s="4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>
      <c r="A674" s="4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>
      <c r="A675" s="4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>
      <c r="A676" s="4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>
      <c r="A677" s="4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>
      <c r="A678" s="4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>
      <c r="A679" s="4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>
      <c r="A680" s="4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>
      <c r="A681" s="4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>
      <c r="A682" s="4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>
      <c r="A683" s="4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>
      <c r="A684" s="4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>
      <c r="A685" s="4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>
      <c r="A686" s="4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>
      <c r="A687" s="4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>
      <c r="A688" s="4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>
      <c r="A689" s="4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>
      <c r="A690" s="4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>
      <c r="A691" s="4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>
      <c r="A692" s="4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>
      <c r="A693" s="4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>
      <c r="A694" s="4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>
      <c r="A695" s="4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>
      <c r="A696" s="4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>
      <c r="A697" s="4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>
      <c r="A698" s="4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>
      <c r="A699" s="4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>
      <c r="A700" s="4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>
      <c r="A701" s="4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>
      <c r="A702" s="4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>
      <c r="A703" s="4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>
      <c r="A704" s="4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>
      <c r="A705" s="4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>
      <c r="A706" s="4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>
      <c r="A707" s="4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>
      <c r="A708" s="4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>
      <c r="A709" s="4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>
      <c r="A710" s="4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>
      <c r="A711" s="4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>
      <c r="A712" s="4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>
      <c r="A713" s="4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>
      <c r="A714" s="4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>
      <c r="A715" s="4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>
      <c r="A716" s="4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>
      <c r="A717" s="4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>
      <c r="A718" s="4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>
      <c r="A719" s="4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>
      <c r="A720" s="4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>
      <c r="A721" s="4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>
      <c r="A722" s="4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>
      <c r="A723" s="4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>
      <c r="A724" s="4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>
      <c r="A725" s="4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>
      <c r="A726" s="4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>
      <c r="A727" s="4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>
      <c r="A728" s="4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>
      <c r="A729" s="4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>
      <c r="A730" s="4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>
      <c r="A731" s="4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>
      <c r="A732" s="4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>
      <c r="A733" s="4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>
      <c r="A734" s="4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>
      <c r="A735" s="4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>
      <c r="A736" s="4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>
      <c r="A737" s="4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>
      <c r="A738" s="4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>
      <c r="A739" s="4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>
      <c r="A740" s="4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>
      <c r="A741" s="4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>
      <c r="A742" s="4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>
      <c r="A743" s="4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>
      <c r="A744" s="4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>
      <c r="A745" s="4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>
      <c r="A746" s="4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>
      <c r="A747" s="4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>
      <c r="A748" s="4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>
      <c r="A749" s="4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>
      <c r="A750" s="4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>
      <c r="A751" s="4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>
      <c r="A752" s="4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>
      <c r="A753" s="4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>
      <c r="A754" s="4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>
      <c r="A755" s="4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>
      <c r="A756" s="4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>
      <c r="A757" s="4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>
      <c r="A758" s="4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>
      <c r="A759" s="4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>
      <c r="A760" s="4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>
      <c r="A761" s="4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>
      <c r="A762" s="4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>
      <c r="A763" s="4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>
      <c r="A764" s="4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>
      <c r="A765" s="4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>
      <c r="A766" s="4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>
      <c r="A767" s="4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>
      <c r="A768" s="4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>
      <c r="A769" s="4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>
      <c r="A770" s="4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>
      <c r="A771" s="4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>
      <c r="A772" s="4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>
      <c r="A773" s="4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>
      <c r="A774" s="4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>
      <c r="A775" s="4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>
      <c r="A776" s="4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>
      <c r="A777" s="4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>
      <c r="A778" s="4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>
      <c r="A779" s="4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>
      <c r="A780" s="4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>
      <c r="A781" s="4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>
      <c r="A782" s="4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>
      <c r="A783" s="4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>
      <c r="A784" s="4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>
      <c r="A785" s="4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>
      <c r="A786" s="4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>
      <c r="A787" s="4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>
      <c r="A788" s="4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>
      <c r="A789" s="4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>
      <c r="A790" s="4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>
      <c r="A791" s="4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>
      <c r="A792" s="4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>
      <c r="A793" s="4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>
      <c r="A794" s="4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>
      <c r="A795" s="4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>
      <c r="A796" s="4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>
      <c r="A797" s="4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>
      <c r="A798" s="4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>
      <c r="A799" s="4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>
      <c r="A800" s="4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>
      <c r="A801" s="4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>
      <c r="A802" s="4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>
      <c r="A803" s="4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>
      <c r="A804" s="4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>
      <c r="A805" s="4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>
      <c r="A806" s="4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>
      <c r="A807" s="4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>
      <c r="A808" s="4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>
      <c r="A809" s="4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>
      <c r="A810" s="4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>
      <c r="A811" s="4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>
      <c r="A812" s="4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>
      <c r="A813" s="4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>
      <c r="A814" s="4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>
      <c r="A815" s="4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>
      <c r="A816" s="4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>
      <c r="A817" s="4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>
      <c r="A818" s="4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>
      <c r="A819" s="4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>
      <c r="A820" s="4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>
      <c r="A821" s="4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>
      <c r="A822" s="4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>
      <c r="A823" s="4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>
      <c r="A824" s="4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>
      <c r="A825" s="4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>
      <c r="A826" s="4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>
      <c r="A827" s="4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>
      <c r="A828" s="4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>
      <c r="A829" s="4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>
      <c r="A830" s="4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>
      <c r="A831" s="4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>
      <c r="A832" s="4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>
      <c r="A833" s="4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>
      <c r="A834" s="4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>
      <c r="A835" s="4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>
      <c r="A836" s="4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>
      <c r="A837" s="4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>
      <c r="A838" s="4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>
      <c r="A839" s="4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>
      <c r="A840" s="4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>
      <c r="A841" s="4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>
      <c r="A842" s="4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>
      <c r="A843" s="4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>
      <c r="A844" s="4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>
      <c r="A845" s="4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>
      <c r="A846" s="4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>
      <c r="A847" s="4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>
      <c r="A848" s="4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>
      <c r="A849" s="4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>
      <c r="A850" s="4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>
      <c r="A851" s="4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>
      <c r="A852" s="4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>
      <c r="A853" s="4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>
      <c r="A854" s="4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>
      <c r="A855" s="4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>
      <c r="A856" s="4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>
      <c r="A857" s="4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>
      <c r="A858" s="4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>
      <c r="A859" s="4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>
      <c r="A860" s="4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>
      <c r="A861" s="4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>
      <c r="A862" s="4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>
      <c r="A863" s="4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>
      <c r="A864" s="4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>
      <c r="A865" s="4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>
      <c r="A866" s="4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>
      <c r="A867" s="4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>
      <c r="A868" s="4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>
      <c r="A869" s="4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>
      <c r="A870" s="4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>
      <c r="A871" s="4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>
      <c r="A872" s="4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>
      <c r="A873" s="4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>
      <c r="A874" s="4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>
      <c r="A875" s="4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>
      <c r="A876" s="4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>
      <c r="A877" s="4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>
      <c r="A878" s="4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>
      <c r="A879" s="4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>
      <c r="A880" s="4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>
      <c r="A881" s="4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>
      <c r="A882" s="4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>
      <c r="A883" s="4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>
      <c r="A884" s="4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>
      <c r="A885" s="4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>
      <c r="A886" s="4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>
      <c r="A887" s="4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>
      <c r="A888" s="4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>
      <c r="A889" s="4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>
      <c r="A890" s="4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>
      <c r="A891" s="4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>
      <c r="A892" s="4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>
      <c r="A893" s="4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>
      <c r="A894" s="4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>
      <c r="A895" s="4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>
      <c r="A896" s="4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>
      <c r="A897" s="4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>
      <c r="A898" s="4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>
      <c r="A899" s="4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>
      <c r="A900" s="4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>
      <c r="A901" s="4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>
      <c r="A902" s="4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>
      <c r="A903" s="4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>
      <c r="A904" s="4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>
      <c r="A905" s="4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>
      <c r="A906" s="4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>
      <c r="A907" s="4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>
      <c r="A908" s="4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>
      <c r="A909" s="4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>
      <c r="A910" s="4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>
      <c r="A911" s="4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>
      <c r="A912" s="4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>
      <c r="A913" s="4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>
      <c r="A914" s="4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>
      <c r="A915" s="4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>
      <c r="A916" s="4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>
      <c r="A917" s="4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>
      <c r="A918" s="4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>
      <c r="A919" s="4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>
      <c r="A920" s="4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>
      <c r="A921" s="4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>
      <c r="A922" s="4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>
      <c r="A923" s="4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>
      <c r="A924" s="4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>
      <c r="A925" s="4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>
      <c r="A926" s="4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>
      <c r="A927" s="4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>
      <c r="A928" s="4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>
      <c r="A929" s="4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>
      <c r="A930" s="4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>
      <c r="A931" s="4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>
      <c r="A932" s="4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>
      <c r="A933" s="4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>
      <c r="A934" s="4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>
      <c r="A935" s="4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>
      <c r="A936" s="4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>
      <c r="A937" s="4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>
      <c r="A938" s="4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>
      <c r="A939" s="4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>
      <c r="A940" s="4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>
      <c r="A941" s="4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>
      <c r="A942" s="4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>
      <c r="A943" s="4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>
      <c r="A944" s="4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>
      <c r="A945" s="4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>
      <c r="A946" s="4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>
      <c r="A947" s="4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>
      <c r="A948" s="4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>
      <c r="A949" s="4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>
      <c r="A950" s="4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>
      <c r="A951" s="4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>
      <c r="A952" s="4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>
      <c r="A953" s="4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>
      <c r="A954" s="4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>
      <c r="A955" s="4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>
      <c r="A956" s="4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>
      <c r="A957" s="4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>
      <c r="A958" s="4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>
      <c r="A959" s="4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>
      <c r="A960" s="4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>
      <c r="A961" s="4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>
      <c r="A962" s="4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>
      <c r="A963" s="4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>
      <c r="A964" s="4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>
      <c r="A965" s="4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>
      <c r="A966" s="4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>
      <c r="A967" s="4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>
      <c r="A968" s="4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>
      <c r="A969" s="4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>
      <c r="A970" s="4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>
      <c r="A971" s="4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>
      <c r="A972" s="4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>
      <c r="A973" s="4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>
      <c r="A974" s="4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>
      <c r="A975" s="4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>
      <c r="A976" s="4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>
      <c r="A977" s="4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>
      <c r="A978" s="4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>
      <c r="A979" s="4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>
      <c r="A980" s="4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>
      <c r="A981" s="4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>
      <c r="A982" s="4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>
      <c r="A983" s="4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>
      <c r="A984" s="4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>
      <c r="A985" s="4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</sheetData>
  <mergeCells count="1">
    <mergeCell ref="I24:J24"/>
  </mergeCells>
  <dataValidations>
    <dataValidation type="list" allowBlank="1" showErrorMessage="1" sqref="B13">
      <formula1>"Monthly Spending,Annual Spending"</formula1>
    </dataValidation>
    <dataValidation type="list" allowBlank="1" showErrorMessage="1" sqref="B14">
      <formula1>"12 months,24 months,36 months"</formula1>
    </dataValidation>
    <dataValidation type="list" allowBlank="1" showErrorMessage="1" sqref="D26">
      <formula1>"Advanced Support,Premium Support,Ignore"</formula1>
    </dataValidation>
    <dataValidation type="list" allowBlank="1" showErrorMessage="1" sqref="B12">
      <formula1>"Registered,Silver,Gold,Platinum,Diamond"</formula1>
    </dataValidation>
    <dataValidation type="list" allowBlank="1" showErrorMessage="1" sqref="B15">
      <formula1>"Reseller,Referral"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